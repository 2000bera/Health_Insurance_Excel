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nwuac-my.sharepoint.com/personal/37778412_mynwu_ac_za/Documents/"/>
    </mc:Choice>
  </mc:AlternateContent>
  <xr:revisionPtr revIDLastSave="0" documentId="8_{AFF8ABD3-39B8-40E5-A71E-B8E536F929C4}" xr6:coauthVersionLast="47" xr6:coauthVersionMax="47" xr10:uidLastSave="{00000000-0000-0000-0000-000000000000}"/>
  <bookViews>
    <workbookView xWindow="-120" yWindow="-120" windowWidth="20640" windowHeight="11160" firstSheet="9" activeTab="9" xr2:uid="{C4EBAA46-3DEE-453E-A57D-02EC64854573}"/>
  </bookViews>
  <sheets>
    <sheet name="healthcare_dataset(raw_data)" sheetId="1" r:id="rId1"/>
    <sheet name="healthcare_dataset" sheetId="2" r:id="rId2"/>
    <sheet name="Sheet2" sheetId="3" state="hidden" r:id="rId3"/>
    <sheet name="Sheet4" sheetId="5" state="hidden" r:id="rId4"/>
    <sheet name="Sheet5" sheetId="6" state="hidden" r:id="rId5"/>
    <sheet name="Sheet1" sheetId="7" state="hidden" r:id="rId6"/>
    <sheet name="Sheet3" sheetId="8" state="hidden" r:id="rId7"/>
    <sheet name="Sheet6" sheetId="9" state="hidden" r:id="rId8"/>
    <sheet name="Sheet7" sheetId="10" state="hidden" r:id="rId9"/>
    <sheet name="Dashboard_Report" sheetId="4" r:id="rId10"/>
  </sheets>
  <calcPr calcId="191028"/>
  <pivotCaches>
    <pivotCache cacheId="456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3" l="1"/>
  <c r="C4" i="3"/>
  <c r="C7" i="5"/>
  <c r="E3" i="3"/>
  <c r="C6" i="5"/>
  <c r="C5" i="5"/>
  <c r="C4" i="5"/>
  <c r="M4" i="2"/>
  <c r="M3" i="2"/>
  <c r="M2" i="2"/>
  <c r="B4" i="6"/>
  <c r="E8" i="4" l="1"/>
</calcChain>
</file>

<file path=xl/sharedStrings.xml><?xml version="1.0" encoding="utf-8"?>
<sst xmlns="http://schemas.openxmlformats.org/spreadsheetml/2006/main" count="2058" uniqueCount="34">
  <si>
    <t>Patient_ID</t>
  </si>
  <si>
    <t>Age</t>
  </si>
  <si>
    <t>Gender</t>
  </si>
  <si>
    <t>Region</t>
  </si>
  <si>
    <t>Diagnosis</t>
  </si>
  <si>
    <t>Visit_Type</t>
  </si>
  <si>
    <t>Treatment_Cost</t>
  </si>
  <si>
    <t>Length_of_Stay_Days</t>
  </si>
  <si>
    <t>Outcome</t>
  </si>
  <si>
    <t>Female</t>
  </si>
  <si>
    <t>Eastern Cape</t>
  </si>
  <si>
    <t>Asthma</t>
  </si>
  <si>
    <t>Emergency</t>
  </si>
  <si>
    <t>Referred</t>
  </si>
  <si>
    <t>Male</t>
  </si>
  <si>
    <t>Western Cape</t>
  </si>
  <si>
    <t>Outpatient</t>
  </si>
  <si>
    <t>Ongoing</t>
  </si>
  <si>
    <t>KwaZulu-Natal</t>
  </si>
  <si>
    <t>Flu</t>
  </si>
  <si>
    <t>Routine Checkup</t>
  </si>
  <si>
    <t>Diabetes</t>
  </si>
  <si>
    <t>Recovered</t>
  </si>
  <si>
    <t>Gauteng</t>
  </si>
  <si>
    <t>Hypertension</t>
  </si>
  <si>
    <t>Minimum</t>
  </si>
  <si>
    <t>Maximum</t>
  </si>
  <si>
    <t>Average</t>
  </si>
  <si>
    <t>Row Labels</t>
  </si>
  <si>
    <t>Count of Age</t>
  </si>
  <si>
    <t>Grand Total</t>
  </si>
  <si>
    <t>Count of Region</t>
  </si>
  <si>
    <t>Sum of Treatment_Cost</t>
  </si>
  <si>
    <t>Count of Length_of_Stay_Days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</si>
</sst>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-1C09]#,##0.00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13" fillId="3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34" borderId="0" xfId="0" applyFill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Treatment</a:t>
            </a:r>
            <a:r>
              <a:rPr lang="en-US" b="1" baseline="0"/>
              <a:t> Cost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healthcare_dataset!$L$2:$L$4</c:f>
              <c:strCache>
                <c:ptCount val="3"/>
                <c:pt idx="0">
                  <c:v>Minimum</c:v>
                </c:pt>
                <c:pt idx="1">
                  <c:v>Maximum</c:v>
                </c:pt>
                <c:pt idx="2">
                  <c:v>Average</c:v>
                </c:pt>
              </c:strCache>
            </c:strRef>
          </c:cat>
          <c:val>
            <c:numRef>
              <c:f>healthcare_dataset!$M$2:$M$4</c:f>
              <c:numCache>
                <c:formatCode>[$R-1C09]#,##0.00</c:formatCode>
                <c:ptCount val="3"/>
                <c:pt idx="0">
                  <c:v>203</c:v>
                </c:pt>
                <c:pt idx="1">
                  <c:v>4985</c:v>
                </c:pt>
                <c:pt idx="2">
                  <c:v>2707.89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33-44F5-9BD9-D5DA3A798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4105872"/>
        <c:axId val="1114102512"/>
      </c:lineChart>
      <c:catAx>
        <c:axId val="111410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102512"/>
        <c:crosses val="autoZero"/>
        <c:auto val="1"/>
        <c:lblAlgn val="ctr"/>
        <c:lblOffset val="100"/>
        <c:noMultiLvlLbl val="0"/>
      </c:catAx>
      <c:valAx>
        <c:axId val="111410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-1C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105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[healthcare_dataset.xlsx]Sheet1!PivotTable1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'Treatment_Cost' by 'Diagnosis'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Sheet1!$B$3:$B$5</c:f>
              <c:numCache>
                <c:formatCode>[$R-1C09]#,##0.00</c:formatCode>
                <c:ptCount val="2"/>
                <c:pt idx="0">
                  <c:v>266305</c:v>
                </c:pt>
                <c:pt idx="1">
                  <c:v>275273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1A-466F-9F7D-D3E9DAACA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950768136"/>
        <c:axId val="1950770184"/>
      </c:barChart>
      <c:catAx>
        <c:axId val="19507681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Diagnosis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770184"/>
        <c:crosses val="autoZero"/>
        <c:auto val="1"/>
        <c:lblAlgn val="ctr"/>
        <c:lblOffset val="100"/>
        <c:noMultiLvlLbl val="0"/>
      </c:catAx>
      <c:valAx>
        <c:axId val="1950770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Treatment_Cost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R-1C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768136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[healthcare_dataset.xlsx]Sheet3!PivotTable2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'Treatment_Cost' by 'Region'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Sheet3!$B$2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Sheet3!$A$3:$A$7</c:f>
              <c:strCache>
                <c:ptCount val="4"/>
                <c:pt idx="0">
                  <c:v>Eastern Cape</c:v>
                </c:pt>
                <c:pt idx="1">
                  <c:v>Gauteng</c:v>
                </c:pt>
                <c:pt idx="2">
                  <c:v>KwaZulu-Natal</c:v>
                </c:pt>
                <c:pt idx="3">
                  <c:v>Western Cape</c:v>
                </c:pt>
              </c:strCache>
            </c:strRef>
          </c:cat>
          <c:val>
            <c:numRef>
              <c:f>Sheet3!$B$3:$B$7</c:f>
              <c:numCache>
                <c:formatCode>[$R-1C09]#,##0.00</c:formatCode>
                <c:ptCount val="4"/>
                <c:pt idx="0">
                  <c:v>152663</c:v>
                </c:pt>
                <c:pt idx="1">
                  <c:v>135393</c:v>
                </c:pt>
                <c:pt idx="2">
                  <c:v>118668</c:v>
                </c:pt>
                <c:pt idx="3">
                  <c:v>134854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95-4FB3-A84B-F85825F2B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[healthcare_dataset.xlsx]Sheet3!PivotTable2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'Treatment_Cost' by 'Region'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Sheet3!$A$3:$A$7</c:f>
              <c:strCache>
                <c:ptCount val="4"/>
                <c:pt idx="0">
                  <c:v>Eastern Cape</c:v>
                </c:pt>
                <c:pt idx="1">
                  <c:v>Gauteng</c:v>
                </c:pt>
                <c:pt idx="2">
                  <c:v>KwaZulu-Natal</c:v>
                </c:pt>
                <c:pt idx="3">
                  <c:v>Western Cape</c:v>
                </c:pt>
              </c:strCache>
            </c:strRef>
          </c:cat>
          <c:val>
            <c:numRef>
              <c:f>Sheet3!$B$3:$B$7</c:f>
              <c:numCache>
                <c:formatCode>[$R-1C09]#,##0.00</c:formatCode>
                <c:ptCount val="4"/>
                <c:pt idx="0">
                  <c:v>152663</c:v>
                </c:pt>
                <c:pt idx="1">
                  <c:v>135393</c:v>
                </c:pt>
                <c:pt idx="2">
                  <c:v>118668</c:v>
                </c:pt>
                <c:pt idx="3">
                  <c:v>134854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89-4FDC-A335-14532707D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778865160"/>
        <c:axId val="757924360"/>
      </c:barChart>
      <c:catAx>
        <c:axId val="778865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924360"/>
        <c:crosses val="autoZero"/>
        <c:auto val="1"/>
        <c:lblAlgn val="ctr"/>
        <c:lblOffset val="100"/>
        <c:noMultiLvlLbl val="0"/>
      </c:catAx>
      <c:valAx>
        <c:axId val="757924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Treatment_Cost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R-1C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865160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[healthcare_dataset.xlsx]Sheet6!PivotTable3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'Length_of_Stay_Days' by 'Gender'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Sheet6!$B$2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Sheet6!$A$3:$A$5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Sheet6!$B$3:$B$5</c:f>
              <c:numCache>
                <c:formatCode>General</c:formatCode>
                <c:ptCount val="2"/>
                <c:pt idx="0">
                  <c:v>103</c:v>
                </c:pt>
                <c:pt idx="1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5F-455E-8E7D-4C1A46A52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[healthcare_dataset.xlsx]Sheet7!PivotTable4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'Treatment_Cost' by 'Visit_Type'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Sheet7!$B$2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strRef>
              <c:f>Sheet7!$A$3:$A$6</c:f>
              <c:strCache>
                <c:ptCount val="3"/>
                <c:pt idx="0">
                  <c:v>Emergency</c:v>
                </c:pt>
                <c:pt idx="1">
                  <c:v>Outpatient</c:v>
                </c:pt>
                <c:pt idx="2">
                  <c:v>Routine Checkup</c:v>
                </c:pt>
              </c:strCache>
            </c:strRef>
          </c:cat>
          <c:val>
            <c:numRef>
              <c:f>Sheet7!$B$3:$B$6</c:f>
              <c:numCache>
                <c:formatCode>[$R-1C09]#,##0.00</c:formatCode>
                <c:ptCount val="3"/>
                <c:pt idx="0">
                  <c:v>168501</c:v>
                </c:pt>
                <c:pt idx="1">
                  <c:v>210903</c:v>
                </c:pt>
                <c:pt idx="2">
                  <c:v>162174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76-4C35-B801-986139C34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6904072"/>
        <c:axId val="626926088"/>
      </c:areaChart>
      <c:catAx>
        <c:axId val="626904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Visit_Type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926088"/>
        <c:crosses val="autoZero"/>
        <c:auto val="1"/>
        <c:lblAlgn val="ctr"/>
        <c:lblOffset val="100"/>
        <c:noMultiLvlLbl val="0"/>
      </c:catAx>
      <c:valAx>
        <c:axId val="626926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Treatment_Cost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R-1C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904072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[healthcare_dataset.xlsx]Sheet1!PivotTable1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Treatment Cost by Diagnosis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FF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FF"/>
            </a:solidFill>
            <a:ln>
              <a:noFill/>
            </a:ln>
            <a:effectLst/>
          </c:spPr>
          <c:invertIfNegative val="0"/>
          <c:cat>
            <c:strRef>
              <c:f>Sheet1!$A$3:$A$5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Sheet1!$B$3:$B$5</c:f>
              <c:numCache>
                <c:formatCode>[$R-1C09]#,##0.00</c:formatCode>
                <c:ptCount val="2"/>
                <c:pt idx="0">
                  <c:v>266305</c:v>
                </c:pt>
                <c:pt idx="1">
                  <c:v>275273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F0-40C9-B713-D7CDD3FCC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950768136"/>
        <c:axId val="1950770184"/>
      </c:barChart>
      <c:catAx>
        <c:axId val="1950768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770184"/>
        <c:crosses val="autoZero"/>
        <c:auto val="1"/>
        <c:lblAlgn val="ctr"/>
        <c:lblOffset val="100"/>
        <c:noMultiLvlLbl val="0"/>
      </c:catAx>
      <c:valAx>
        <c:axId val="1950770184"/>
        <c:scaling>
          <c:orientation val="minMax"/>
        </c:scaling>
        <c:delete val="1"/>
        <c:axPos val="b"/>
        <c:numFmt formatCode="[$R-1C09]#,##0.00" sourceLinked="1"/>
        <c:majorTickMark val="none"/>
        <c:minorTickMark val="none"/>
        <c:tickLblPos val="nextTo"/>
        <c:crossAx val="1950768136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595959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[healthcare_dataset.xlsx]Sheet3!PivotTable2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Treatment Cost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FFFF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FF"/>
            </a:solidFill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cat>
            <c:strRef>
              <c:f>Sheet3!$A$3:$A$7</c:f>
              <c:strCache>
                <c:ptCount val="4"/>
                <c:pt idx="0">
                  <c:v>Eastern Cape</c:v>
                </c:pt>
                <c:pt idx="1">
                  <c:v>Gauteng</c:v>
                </c:pt>
                <c:pt idx="2">
                  <c:v>KwaZulu-Natal</c:v>
                </c:pt>
                <c:pt idx="3">
                  <c:v>Western Cape</c:v>
                </c:pt>
              </c:strCache>
            </c:strRef>
          </c:cat>
          <c:val>
            <c:numRef>
              <c:f>Sheet3!$B$3:$B$7</c:f>
              <c:numCache>
                <c:formatCode>[$R-1C09]#,##0.00</c:formatCode>
                <c:ptCount val="4"/>
                <c:pt idx="0">
                  <c:v>152663</c:v>
                </c:pt>
                <c:pt idx="1">
                  <c:v>135393</c:v>
                </c:pt>
                <c:pt idx="2">
                  <c:v>118668</c:v>
                </c:pt>
                <c:pt idx="3">
                  <c:v>134854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5E-48FB-BF18-120875869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4"/>
        <c:overlap val="-30"/>
        <c:axId val="778865160"/>
        <c:axId val="757924360"/>
      </c:barChart>
      <c:catAx>
        <c:axId val="778865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924360"/>
        <c:crosses val="autoZero"/>
        <c:auto val="1"/>
        <c:lblAlgn val="ctr"/>
        <c:lblOffset val="100"/>
        <c:noMultiLvlLbl val="0"/>
      </c:catAx>
      <c:valAx>
        <c:axId val="757924360"/>
        <c:scaling>
          <c:orientation val="minMax"/>
        </c:scaling>
        <c:delete val="1"/>
        <c:axPos val="l"/>
        <c:numFmt formatCode="[$R-1C09]#,##0.00" sourceLinked="1"/>
        <c:majorTickMark val="none"/>
        <c:minorTickMark val="none"/>
        <c:tickLblPos val="nextTo"/>
        <c:crossAx val="778865160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595959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[healthcare_dataset.xlsx]Sheet6!PivotTable3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Length of Stay in Days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Sheet6!$B$2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270-4EB3-BF11-FBA3B4CDEB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270-4EB3-BF11-FBA3B4CDEB50}"/>
              </c:ext>
            </c:extLst>
          </c:dPt>
          <c:cat>
            <c:strRef>
              <c:f>Sheet6!$A$3:$A$5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Sheet6!$B$3:$B$5</c:f>
              <c:numCache>
                <c:formatCode>General</c:formatCode>
                <c:ptCount val="2"/>
                <c:pt idx="0">
                  <c:v>103</c:v>
                </c:pt>
                <c:pt idx="1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70-4EB3-BF11-FBA3B4CDE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[healthcare_dataset.xlsx]Sheet7!PivotTable4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Treatment Cost by Visit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Sheet7!$B$2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strRef>
              <c:f>Sheet7!$A$3:$A$6</c:f>
              <c:strCache>
                <c:ptCount val="3"/>
                <c:pt idx="0">
                  <c:v>Emergency</c:v>
                </c:pt>
                <c:pt idx="1">
                  <c:v>Outpatient</c:v>
                </c:pt>
                <c:pt idx="2">
                  <c:v>Routine Checkup</c:v>
                </c:pt>
              </c:strCache>
            </c:strRef>
          </c:cat>
          <c:val>
            <c:numRef>
              <c:f>Sheet7!$B$3:$B$6</c:f>
              <c:numCache>
                <c:formatCode>[$R-1C09]#,##0.00</c:formatCode>
                <c:ptCount val="3"/>
                <c:pt idx="0">
                  <c:v>168501</c:v>
                </c:pt>
                <c:pt idx="1">
                  <c:v>210903</c:v>
                </c:pt>
                <c:pt idx="2">
                  <c:v>162174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45-4CE2-844C-1AF917D96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6904072"/>
        <c:axId val="626926088"/>
      </c:areaChart>
      <c:catAx>
        <c:axId val="626904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926088"/>
        <c:crosses val="autoZero"/>
        <c:auto val="1"/>
        <c:lblAlgn val="ctr"/>
        <c:lblOffset val="100"/>
        <c:noMultiLvlLbl val="0"/>
      </c:catAx>
      <c:valAx>
        <c:axId val="626926088"/>
        <c:scaling>
          <c:orientation val="minMax"/>
        </c:scaling>
        <c:delete val="1"/>
        <c:axPos val="l"/>
        <c:numFmt formatCode="[$R-1C09]#,##0.00" sourceLinked="1"/>
        <c:majorTickMark val="none"/>
        <c:minorTickMark val="none"/>
        <c:tickLblPos val="nextTo"/>
        <c:crossAx val="626904072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76200</xdr:colOff>
      <xdr:row>4</xdr:row>
      <xdr:rowOff>185737</xdr:rowOff>
    </xdr:from>
    <xdr:to>
      <xdr:col>15</xdr:col>
      <xdr:colOff>561975</xdr:colOff>
      <xdr:row>19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0871D5-F2CE-D5D4-1799-06203D289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 descr="Chart type: Clustered Bar. 'Treatment_Cost' by 'Diagnosis'&#10;&#10;Description automatically generated">
          <a:extLst>
            <a:ext uri="{FF2B5EF4-FFF2-40B4-BE49-F238E27FC236}">
              <a16:creationId xmlns:a16="http://schemas.microsoft.com/office/drawing/2014/main" id="{FE5A2646-1B8B-7EFF-2FE5-3968570E5B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 descr="Chart type: Doughnut. 'Treatment_Cost' by 'Region'&#10;&#10;Description automatically generated">
          <a:extLst>
            <a:ext uri="{FF2B5EF4-FFF2-40B4-BE49-F238E27FC236}">
              <a16:creationId xmlns:a16="http://schemas.microsoft.com/office/drawing/2014/main" id="{DD6B1625-E9A4-8BFD-DFA3-DE7EBAB88E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3" name="Chart 2" descr="Chart type: Clustered Column. 'Treatment_Cost' by 'Region'&#10;&#10;Description automatically generated">
          <a:extLst>
            <a:ext uri="{FF2B5EF4-FFF2-40B4-BE49-F238E27FC236}">
              <a16:creationId xmlns:a16="http://schemas.microsoft.com/office/drawing/2014/main" id="{8601E88D-E5D3-CFB2-70EC-EB27257B78E3}"/>
            </a:ext>
            <a:ext uri="{147F2762-F138-4A5C-976F-8EAC2B608ADB}">
              <a16:predDERef xmlns:a16="http://schemas.microsoft.com/office/drawing/2014/main" pred="{DD6B1625-E9A4-8BFD-DFA3-DE7EBAB88E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 descr="Chart type: Pie. 'Length_of_Stay_Days' by 'Gender'&#10;&#10;Description automatically generated">
          <a:extLst>
            <a:ext uri="{FF2B5EF4-FFF2-40B4-BE49-F238E27FC236}">
              <a16:creationId xmlns:a16="http://schemas.microsoft.com/office/drawing/2014/main" id="{3B93BB18-0DD6-CC72-CE60-3B762FCF64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 descr="Chart type: Area. 'Treatment_Cost' by 'Visit_Type'&#10;&#10;Description automatically generated">
          <a:extLst>
            <a:ext uri="{FF2B5EF4-FFF2-40B4-BE49-F238E27FC236}">
              <a16:creationId xmlns:a16="http://schemas.microsoft.com/office/drawing/2014/main" id="{ABE8A1CD-2C6C-99CF-DB21-982A589BBB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23</xdr:col>
      <xdr:colOff>342900</xdr:colOff>
      <xdr:row>26</xdr:row>
      <xdr:rowOff>66675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65B1748-97A8-725C-F39E-B5BCC2F199F8}"/>
            </a:ext>
          </a:extLst>
        </xdr:cNvPr>
        <xdr:cNvSpPr/>
      </xdr:nvSpPr>
      <xdr:spPr>
        <a:xfrm>
          <a:off x="0" y="0"/>
          <a:ext cx="14363700" cy="5019675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5</xdr:col>
      <xdr:colOff>28575</xdr:colOff>
      <xdr:row>0</xdr:row>
      <xdr:rowOff>104775</xdr:rowOff>
    </xdr:from>
    <xdr:to>
      <xdr:col>15</xdr:col>
      <xdr:colOff>228600</xdr:colOff>
      <xdr:row>3</xdr:row>
      <xdr:rowOff>57150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B5365BA-41B5-4B04-BCE2-3D160D361058}"/>
            </a:ext>
          </a:extLst>
        </xdr:cNvPr>
        <xdr:cNvSpPr/>
      </xdr:nvSpPr>
      <xdr:spPr>
        <a:xfrm>
          <a:off x="3076575" y="104775"/>
          <a:ext cx="6296025" cy="523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300" b="1"/>
            <a:t>Health Data</a:t>
          </a:r>
          <a:r>
            <a:rPr lang="en-US" sz="2300" b="1" baseline="0"/>
            <a:t> Dashboard</a:t>
          </a:r>
          <a:endParaRPr lang="en-US" sz="2300" b="1"/>
        </a:p>
      </xdr:txBody>
    </xdr:sp>
    <xdr:clientData/>
  </xdr:twoCellAnchor>
  <xdr:twoCellAnchor>
    <xdr:from>
      <xdr:col>1</xdr:col>
      <xdr:colOff>133254</xdr:colOff>
      <xdr:row>3</xdr:row>
      <xdr:rowOff>0</xdr:rowOff>
    </xdr:from>
    <xdr:to>
      <xdr:col>19</xdr:col>
      <xdr:colOff>304897</xdr:colOff>
      <xdr:row>3</xdr:row>
      <xdr:rowOff>28575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66762FBF-F383-A780-6DCB-D30FF99C63F7}"/>
            </a:ext>
            <a:ext uri="{147F2762-F138-4A5C-976F-8EAC2B608ADB}">
              <a16:predDERef xmlns:a16="http://schemas.microsoft.com/office/drawing/2014/main" pred="{3B5365BA-41B5-4B04-BCE2-3D160D361058}"/>
            </a:ext>
          </a:extLst>
        </xdr:cNvPr>
        <xdr:cNvCxnSpPr/>
      </xdr:nvCxnSpPr>
      <xdr:spPr>
        <a:xfrm flipV="1">
          <a:off x="742854" y="571500"/>
          <a:ext cx="11144443" cy="28575"/>
        </a:xfrm>
        <a:prstGeom prst="line">
          <a:avLst/>
        </a:prstGeom>
        <a:ln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505257</xdr:colOff>
      <xdr:row>3</xdr:row>
      <xdr:rowOff>152400</xdr:rowOff>
    </xdr:from>
    <xdr:to>
      <xdr:col>6</xdr:col>
      <xdr:colOff>511591</xdr:colOff>
      <xdr:row>11</xdr:row>
      <xdr:rowOff>76200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CA5F92DF-B713-499B-A391-8502894E42E1}"/>
            </a:ext>
          </a:extLst>
        </xdr:cNvPr>
        <xdr:cNvCxnSpPr/>
      </xdr:nvCxnSpPr>
      <xdr:spPr>
        <a:xfrm flipH="1">
          <a:off x="4162857" y="723900"/>
          <a:ext cx="6334" cy="1447800"/>
        </a:xfrm>
        <a:prstGeom prst="line">
          <a:avLst/>
        </a:prstGeom>
        <a:ln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390957</xdr:colOff>
      <xdr:row>3</xdr:row>
      <xdr:rowOff>152400</xdr:rowOff>
    </xdr:from>
    <xdr:to>
      <xdr:col>13</xdr:col>
      <xdr:colOff>397291</xdr:colOff>
      <xdr:row>11</xdr:row>
      <xdr:rowOff>76200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1D973E47-7A37-4C22-AADD-3A7D736F453E}"/>
            </a:ext>
          </a:extLst>
        </xdr:cNvPr>
        <xdr:cNvCxnSpPr/>
      </xdr:nvCxnSpPr>
      <xdr:spPr>
        <a:xfrm flipH="1">
          <a:off x="8315757" y="723900"/>
          <a:ext cx="6334" cy="1447800"/>
        </a:xfrm>
        <a:prstGeom prst="line">
          <a:avLst/>
        </a:prstGeom>
        <a:ln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561975</xdr:colOff>
      <xdr:row>3</xdr:row>
      <xdr:rowOff>114300</xdr:rowOff>
    </xdr:from>
    <xdr:to>
      <xdr:col>6</xdr:col>
      <xdr:colOff>361950</xdr:colOff>
      <xdr:row>6</xdr:row>
      <xdr:rowOff>114300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71876FFD-D37D-00D9-1960-13BEC90404A8}"/>
            </a:ext>
            <a:ext uri="{147F2762-F138-4A5C-976F-8EAC2B608ADB}">
              <a16:predDERef xmlns:a16="http://schemas.microsoft.com/office/drawing/2014/main" pred="{1D973E47-7A37-4C22-AADD-3A7D736F453E}"/>
            </a:ext>
          </a:extLst>
        </xdr:cNvPr>
        <xdr:cNvSpPr/>
      </xdr:nvSpPr>
      <xdr:spPr>
        <a:xfrm>
          <a:off x="2390775" y="685800"/>
          <a:ext cx="1628775" cy="571500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</a:t>
          </a:r>
          <a:r>
            <a:rPr lang="en-US" sz="14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Revenue</a:t>
          </a:r>
          <a:endParaRPr lang="en-US" sz="1400">
            <a:effectLst/>
          </a:endParaRPr>
        </a:p>
        <a:p>
          <a:pPr algn="l"/>
          <a:endParaRPr lang="en-US" sz="1400"/>
        </a:p>
      </xdr:txBody>
    </xdr:sp>
    <xdr:clientData/>
  </xdr:twoCellAnchor>
  <xdr:twoCellAnchor>
    <xdr:from>
      <xdr:col>4</xdr:col>
      <xdr:colOff>200025</xdr:colOff>
      <xdr:row>4</xdr:row>
      <xdr:rowOff>171450</xdr:rowOff>
    </xdr:from>
    <xdr:to>
      <xdr:col>6</xdr:col>
      <xdr:colOff>561975</xdr:colOff>
      <xdr:row>6</xdr:row>
      <xdr:rowOff>123825</xdr:rowOff>
    </xdr:to>
    <xdr:sp macro="" textlink="Sheet5!F11">
      <xdr:nvSpPr>
        <xdr:cNvPr id="13" name="Rectangle 12">
          <a:extLst>
            <a:ext uri="{FF2B5EF4-FFF2-40B4-BE49-F238E27FC236}">
              <a16:creationId xmlns:a16="http://schemas.microsoft.com/office/drawing/2014/main" id="{E8B63BB4-4E82-4FB7-879B-9E8E61A8CF7A}"/>
            </a:ext>
          </a:extLst>
        </xdr:cNvPr>
        <xdr:cNvSpPr/>
      </xdr:nvSpPr>
      <xdr:spPr>
        <a:xfrm>
          <a:off x="2638425" y="933450"/>
          <a:ext cx="15811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537EE470-5B4C-445C-A609-84E7E25374D6}" type="TxLink">
            <a:rPr lang="en-US" sz="1100" b="1" i="0" u="none" strike="noStrike">
              <a:solidFill>
                <a:schemeClr val="bg1"/>
              </a:solidFill>
              <a:latin typeface="Aptos Narrow"/>
            </a:rPr>
            <a:pPr algn="l"/>
            <a:t> </a:t>
          </a:fld>
          <a:endParaRPr 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95250</xdr:colOff>
      <xdr:row>3</xdr:row>
      <xdr:rowOff>133350</xdr:rowOff>
    </xdr:from>
    <xdr:to>
      <xdr:col>3</xdr:col>
      <xdr:colOff>504825</xdr:colOff>
      <xdr:row>7</xdr:row>
      <xdr:rowOff>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2EB38EF3-BCAD-494A-BCAA-B65EED9EEC16}"/>
            </a:ext>
            <a:ext uri="{147F2762-F138-4A5C-976F-8EAC2B608ADB}">
              <a16:predDERef xmlns:a16="http://schemas.microsoft.com/office/drawing/2014/main" pred="{E8B63BB4-4E82-4FB7-879B-9E8E61A8CF7A}"/>
            </a:ext>
          </a:extLst>
        </xdr:cNvPr>
        <xdr:cNvSpPr/>
      </xdr:nvSpPr>
      <xdr:spPr>
        <a:xfrm>
          <a:off x="704850" y="704850"/>
          <a:ext cx="1628775" cy="628650"/>
        </a:xfrm>
        <a:prstGeom prst="roundRect">
          <a:avLst>
            <a:gd name="adj" fmla="val 5839"/>
          </a:avLst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Active</a:t>
          </a:r>
          <a:r>
            <a:rPr lang="en-US" sz="14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Regions</a:t>
          </a:r>
          <a:endParaRPr lang="en-US" sz="1400"/>
        </a:p>
      </xdr:txBody>
    </xdr:sp>
    <xdr:clientData/>
  </xdr:twoCellAnchor>
  <xdr:twoCellAnchor>
    <xdr:from>
      <xdr:col>3</xdr:col>
      <xdr:colOff>571500</xdr:colOff>
      <xdr:row>6</xdr:row>
      <xdr:rowOff>180975</xdr:rowOff>
    </xdr:from>
    <xdr:to>
      <xdr:col>6</xdr:col>
      <xdr:colOff>371475</xdr:colOff>
      <xdr:row>9</xdr:row>
      <xdr:rowOff>171450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AA99C8E9-7142-468E-AB09-6B59A3EF500D}"/>
            </a:ext>
            <a:ext uri="{147F2762-F138-4A5C-976F-8EAC2B608ADB}">
              <a16:predDERef xmlns:a16="http://schemas.microsoft.com/office/drawing/2014/main" pred="{2EB38EF3-BCAD-494A-BCAA-B65EED9EEC16}"/>
            </a:ext>
          </a:extLst>
        </xdr:cNvPr>
        <xdr:cNvSpPr/>
      </xdr:nvSpPr>
      <xdr:spPr>
        <a:xfrm>
          <a:off x="2400300" y="1323975"/>
          <a:ext cx="1628775" cy="561975"/>
        </a:xfrm>
        <a:prstGeom prst="roundRect">
          <a:avLst>
            <a:gd name="adj" fmla="val 12291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Patients</a:t>
          </a:r>
          <a:endParaRPr lang="en-US" sz="1400"/>
        </a:p>
      </xdr:txBody>
    </xdr:sp>
    <xdr:clientData/>
  </xdr:twoCellAnchor>
  <xdr:twoCellAnchor>
    <xdr:from>
      <xdr:col>1</xdr:col>
      <xdr:colOff>152304</xdr:colOff>
      <xdr:row>12</xdr:row>
      <xdr:rowOff>73984</xdr:rowOff>
    </xdr:from>
    <xdr:to>
      <xdr:col>19</xdr:col>
      <xdr:colOff>323947</xdr:colOff>
      <xdr:row>12</xdr:row>
      <xdr:rowOff>87940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78A15B18-7DDB-4BDD-B854-B0391055F513}"/>
            </a:ext>
          </a:extLst>
        </xdr:cNvPr>
        <xdr:cNvCxnSpPr/>
      </xdr:nvCxnSpPr>
      <xdr:spPr>
        <a:xfrm flipV="1">
          <a:off x="761904" y="2359984"/>
          <a:ext cx="11144443" cy="13956"/>
        </a:xfrm>
        <a:prstGeom prst="line">
          <a:avLst/>
        </a:prstGeom>
        <a:ln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145315</xdr:colOff>
      <xdr:row>13</xdr:row>
      <xdr:rowOff>57150</xdr:rowOff>
    </xdr:from>
    <xdr:to>
      <xdr:col>10</xdr:col>
      <xdr:colOff>147634</xdr:colOff>
      <xdr:row>20</xdr:row>
      <xdr:rowOff>171450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56C99044-4645-4B89-B4C2-3534BC025CD2}"/>
            </a:ext>
            <a:ext uri="{147F2762-F138-4A5C-976F-8EAC2B608ADB}">
              <a16:predDERef xmlns:a16="http://schemas.microsoft.com/office/drawing/2014/main" pred="{78A15B18-7DDB-4BDD-B854-B0391055F513}"/>
            </a:ext>
          </a:extLst>
        </xdr:cNvPr>
        <xdr:cNvCxnSpPr/>
      </xdr:nvCxnSpPr>
      <xdr:spPr>
        <a:xfrm flipH="1">
          <a:off x="6241315" y="2533650"/>
          <a:ext cx="2319" cy="1447800"/>
        </a:xfrm>
        <a:prstGeom prst="line">
          <a:avLst/>
        </a:prstGeom>
        <a:ln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257175</xdr:colOff>
      <xdr:row>5</xdr:row>
      <xdr:rowOff>28575</xdr:rowOff>
    </xdr:from>
    <xdr:to>
      <xdr:col>5</xdr:col>
      <xdr:colOff>600075</xdr:colOff>
      <xdr:row>6</xdr:row>
      <xdr:rowOff>76200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8033EF1-1044-5FD2-BD0B-7EC8E4CFFE77}"/>
            </a:ext>
            <a:ext uri="{147F2762-F138-4A5C-976F-8EAC2B608ADB}">
              <a16:predDERef xmlns:a16="http://schemas.microsoft.com/office/drawing/2014/main" pred="{56C99044-4645-4B89-B4C2-3534BC025CD2}"/>
            </a:ext>
          </a:extLst>
        </xdr:cNvPr>
        <xdr:cNvSpPr/>
      </xdr:nvSpPr>
      <xdr:spPr>
        <a:xfrm>
          <a:off x="2695575" y="981075"/>
          <a:ext cx="952500" cy="238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>
              <a:solidFill>
                <a:schemeClr val="bg1"/>
              </a:solidFill>
              <a:latin typeface="+mn-lt"/>
              <a:ea typeface="+mn-lt"/>
              <a:cs typeface="+mn-lt"/>
            </a:rPr>
            <a:t>R541,578.00</a:t>
          </a:r>
        </a:p>
      </xdr:txBody>
    </xdr:sp>
    <xdr:clientData/>
  </xdr:twoCellAnchor>
  <xdr:twoCellAnchor>
    <xdr:from>
      <xdr:col>2</xdr:col>
      <xdr:colOff>114300</xdr:colOff>
      <xdr:row>5</xdr:row>
      <xdr:rowOff>47625</xdr:rowOff>
    </xdr:from>
    <xdr:to>
      <xdr:col>2</xdr:col>
      <xdr:colOff>542925</xdr:colOff>
      <xdr:row>6</xdr:row>
      <xdr:rowOff>123825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5E70A5FA-AA6F-D3E7-1E94-E35A9D06A7C2}"/>
            </a:ext>
            <a:ext uri="{147F2762-F138-4A5C-976F-8EAC2B608ADB}">
              <a16:predDERef xmlns:a16="http://schemas.microsoft.com/office/drawing/2014/main" pred="{58033EF1-1044-5FD2-BD0B-7EC8E4CFFE77}"/>
            </a:ext>
          </a:extLst>
        </xdr:cNvPr>
        <xdr:cNvSpPr/>
      </xdr:nvSpPr>
      <xdr:spPr>
        <a:xfrm>
          <a:off x="1333500" y="1000125"/>
          <a:ext cx="428625" cy="2667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>
              <a:solidFill>
                <a:schemeClr val="lt1"/>
              </a:solidFill>
              <a:latin typeface="+mn-lt"/>
              <a:ea typeface="+mn-lt"/>
              <a:cs typeface="+mn-lt"/>
            </a:rPr>
            <a:t>4</a:t>
          </a:r>
        </a:p>
      </xdr:txBody>
    </xdr:sp>
    <xdr:clientData/>
  </xdr:twoCellAnchor>
  <xdr:twoCellAnchor>
    <xdr:from>
      <xdr:col>4</xdr:col>
      <xdr:colOff>552450</xdr:colOff>
      <xdr:row>8</xdr:row>
      <xdr:rowOff>66675</xdr:rowOff>
    </xdr:from>
    <xdr:to>
      <xdr:col>5</xdr:col>
      <xdr:colOff>371475</xdr:colOff>
      <xdr:row>9</xdr:row>
      <xdr:rowOff>142875</xdr:rowOff>
    </xdr:to>
    <xdr:sp macro="" textlink="">
      <xdr:nvSpPr>
        <xdr:cNvPr id="14" name="Rounded Rectangle 13">
          <a:extLst>
            <a:ext uri="{FF2B5EF4-FFF2-40B4-BE49-F238E27FC236}">
              <a16:creationId xmlns:a16="http://schemas.microsoft.com/office/drawing/2014/main" id="{CB506FE9-FCB5-45E6-841F-0B3759495E19}"/>
            </a:ext>
            <a:ext uri="{147F2762-F138-4A5C-976F-8EAC2B608ADB}">
              <a16:predDERef xmlns:a16="http://schemas.microsoft.com/office/drawing/2014/main" pred="{5E70A5FA-AA6F-D3E7-1E94-E35A9D06A7C2}"/>
            </a:ext>
          </a:extLst>
        </xdr:cNvPr>
        <xdr:cNvSpPr/>
      </xdr:nvSpPr>
      <xdr:spPr>
        <a:xfrm>
          <a:off x="2990850" y="1590675"/>
          <a:ext cx="428625" cy="2667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1">
              <a:solidFill>
                <a:schemeClr val="lt1"/>
              </a:solidFill>
              <a:latin typeface="+mn-lt"/>
              <a:ea typeface="+mn-lt"/>
              <a:cs typeface="+mn-lt"/>
            </a:rPr>
            <a:t>200</a:t>
          </a:r>
        </a:p>
      </xdr:txBody>
    </xdr:sp>
    <xdr:clientData/>
  </xdr:twoCellAnchor>
  <xdr:twoCellAnchor>
    <xdr:from>
      <xdr:col>7</xdr:col>
      <xdr:colOff>28575</xdr:colOff>
      <xdr:row>3</xdr:row>
      <xdr:rowOff>133350</xdr:rowOff>
    </xdr:from>
    <xdr:to>
      <xdr:col>13</xdr:col>
      <xdr:colOff>304800</xdr:colOff>
      <xdr:row>11</xdr:row>
      <xdr:rowOff>114300</xdr:rowOff>
    </xdr:to>
    <xdr:graphicFrame macro="">
      <xdr:nvGraphicFramePr>
        <xdr:cNvPr id="23" name="Chart 22" descr="Chart type: Clustered Bar. 'Treatment_Cost' by 'Diagnosis'&#10;&#10;Description automatically generated">
          <a:extLst>
            <a:ext uri="{FF2B5EF4-FFF2-40B4-BE49-F238E27FC236}">
              <a16:creationId xmlns:a16="http://schemas.microsoft.com/office/drawing/2014/main" id="{DE61B2D0-1FDD-4B0F-90A7-D6BCACF02690}"/>
            </a:ext>
            <a:ext uri="{147F2762-F138-4A5C-976F-8EAC2B608ADB}">
              <a16:predDERef xmlns:a16="http://schemas.microsoft.com/office/drawing/2014/main" pred="{1373F011-094A-4DA2-8514-6DAFF30ABE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247650</xdr:colOff>
      <xdr:row>12</xdr:row>
      <xdr:rowOff>171450</xdr:rowOff>
    </xdr:from>
    <xdr:to>
      <xdr:col>10</xdr:col>
      <xdr:colOff>0</xdr:colOff>
      <xdr:row>21</xdr:row>
      <xdr:rowOff>19050</xdr:rowOff>
    </xdr:to>
    <xdr:graphicFrame macro="">
      <xdr:nvGraphicFramePr>
        <xdr:cNvPr id="27" name="Chart 2" descr="Chart type: Clustered Column. 'Treatment_Cost' by 'Region'&#10;&#10;Description automatically generated">
          <a:extLst>
            <a:ext uri="{FF2B5EF4-FFF2-40B4-BE49-F238E27FC236}">
              <a16:creationId xmlns:a16="http://schemas.microsoft.com/office/drawing/2014/main" id="{6DF31CAB-BD64-4A08-9991-7F31989DC32A}"/>
            </a:ext>
            <a:ext uri="{147F2762-F138-4A5C-976F-8EAC2B608ADB}">
              <a16:predDERef xmlns:a16="http://schemas.microsoft.com/office/drawing/2014/main" pred="{DE61B2D0-1FDD-4B0F-90A7-D6BCACF026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533400</xdr:colOff>
      <xdr:row>3</xdr:row>
      <xdr:rowOff>123825</xdr:rowOff>
    </xdr:from>
    <xdr:to>
      <xdr:col>19</xdr:col>
      <xdr:colOff>342900</xdr:colOff>
      <xdr:row>11</xdr:row>
      <xdr:rowOff>47625</xdr:rowOff>
    </xdr:to>
    <xdr:graphicFrame macro="">
      <xdr:nvGraphicFramePr>
        <xdr:cNvPr id="34" name="Chart 33" descr="Chart type: Pie. 'Length_of_Stay_Days' by 'Gender'&#10;&#10;Description automatically generated">
          <a:extLst>
            <a:ext uri="{FF2B5EF4-FFF2-40B4-BE49-F238E27FC236}">
              <a16:creationId xmlns:a16="http://schemas.microsoft.com/office/drawing/2014/main" id="{1CCC9851-9DC2-475B-85CF-C2CC2A404361}"/>
            </a:ext>
            <a:ext uri="{147F2762-F138-4A5C-976F-8EAC2B608ADB}">
              <a16:predDERef xmlns:a16="http://schemas.microsoft.com/office/drawing/2014/main" pred="{6DF31CAB-BD64-4A08-9991-7F31989DC3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285750</xdr:colOff>
      <xdr:row>13</xdr:row>
      <xdr:rowOff>38100</xdr:rowOff>
    </xdr:from>
    <xdr:to>
      <xdr:col>19</xdr:col>
      <xdr:colOff>361950</xdr:colOff>
      <xdr:row>21</xdr:row>
      <xdr:rowOff>19050</xdr:rowOff>
    </xdr:to>
    <xdr:graphicFrame macro="">
      <xdr:nvGraphicFramePr>
        <xdr:cNvPr id="35" name="Chart 34" descr="Chart type: Area. 'Treatment_Cost' by 'Visit_Type'&#10;&#10;Description automatically generated">
          <a:extLst>
            <a:ext uri="{FF2B5EF4-FFF2-40B4-BE49-F238E27FC236}">
              <a16:creationId xmlns:a16="http://schemas.microsoft.com/office/drawing/2014/main" id="{1D2FEBD0-F64E-4DDD-A30D-BF0E53B696D2}"/>
            </a:ext>
            <a:ext uri="{147F2762-F138-4A5C-976F-8EAC2B608ADB}">
              <a16:predDERef xmlns:a16="http://schemas.microsoft.com/office/drawing/2014/main" pred="{1CCC9851-9DC2-475B-85CF-C2CC2A4043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42.133139467594" createdVersion="8" refreshedVersion="8" minRefreshableVersion="3" recordCount="200" xr:uid="{CDAD84BB-88F6-47B9-B935-C6250F294C70}">
  <cacheSource type="worksheet">
    <worksheetSource ref="A1:I201" sheet="healthcare_dataset"/>
  </cacheSource>
  <cacheFields count="9">
    <cacheField name="Patient_ID" numFmtId="0">
      <sharedItems containsSemiMixedTypes="0" containsString="0" containsNumber="1" containsInteger="1" minValue="1" maxValue="200"/>
    </cacheField>
    <cacheField name="Age" numFmtId="0">
      <sharedItems containsSemiMixedTypes="0" containsString="0" containsNumber="1" containsInteger="1" minValue="18" maxValue="79"/>
    </cacheField>
    <cacheField name="Gender" numFmtId="0">
      <sharedItems count="2">
        <s v="Female"/>
        <s v="Male"/>
      </sharedItems>
    </cacheField>
    <cacheField name="Region" numFmtId="0">
      <sharedItems count="4">
        <s v="Eastern Cape"/>
        <s v="Western Cape"/>
        <s v="KwaZulu-Natal"/>
        <s v="Gauteng"/>
      </sharedItems>
    </cacheField>
    <cacheField name="Diagnosis" numFmtId="0">
      <sharedItems/>
    </cacheField>
    <cacheField name="Visit_Type" numFmtId="0">
      <sharedItems count="3">
        <s v="Emergency"/>
        <s v="Outpatient"/>
        <s v="Routine Checkup"/>
      </sharedItems>
    </cacheField>
    <cacheField name="Treatment_Cost" numFmtId="164">
      <sharedItems containsSemiMixedTypes="0" containsString="0" containsNumber="1" containsInteger="1" minValue="203" maxValue="4985"/>
    </cacheField>
    <cacheField name="Length_of_Stay_Days" numFmtId="0">
      <sharedItems containsSemiMixedTypes="0" containsString="0" containsNumber="1" containsInteger="1" minValue="0" maxValue="9"/>
    </cacheField>
    <cacheField name="Outcome" numFmtId="0">
      <sharedItems count="3">
        <s v="Referred"/>
        <s v="Ongoing"/>
        <s v="Recover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"/>
    <n v="56"/>
    <x v="0"/>
    <x v="0"/>
    <s v="Asthma"/>
    <x v="0"/>
    <n v="3836"/>
    <n v="7"/>
    <x v="0"/>
  </r>
  <r>
    <n v="2"/>
    <n v="69"/>
    <x v="1"/>
    <x v="1"/>
    <s v="Asthma"/>
    <x v="1"/>
    <n v="2924"/>
    <n v="1"/>
    <x v="1"/>
  </r>
  <r>
    <n v="3"/>
    <n v="46"/>
    <x v="1"/>
    <x v="2"/>
    <s v="Flu"/>
    <x v="2"/>
    <n v="4378"/>
    <n v="3"/>
    <x v="1"/>
  </r>
  <r>
    <n v="4"/>
    <n v="32"/>
    <x v="1"/>
    <x v="0"/>
    <s v="Diabetes"/>
    <x v="2"/>
    <n v="2248"/>
    <n v="0"/>
    <x v="1"/>
  </r>
  <r>
    <n v="5"/>
    <n v="60"/>
    <x v="1"/>
    <x v="1"/>
    <s v="Asthma"/>
    <x v="1"/>
    <n v="4346"/>
    <n v="4"/>
    <x v="2"/>
  </r>
  <r>
    <n v="6"/>
    <n v="25"/>
    <x v="1"/>
    <x v="3"/>
    <s v="Diabetes"/>
    <x v="1"/>
    <n v="4980"/>
    <n v="8"/>
    <x v="1"/>
  </r>
  <r>
    <n v="7"/>
    <n v="78"/>
    <x v="1"/>
    <x v="2"/>
    <s v="Diabetes"/>
    <x v="1"/>
    <n v="916"/>
    <n v="0"/>
    <x v="1"/>
  </r>
  <r>
    <n v="8"/>
    <n v="38"/>
    <x v="1"/>
    <x v="3"/>
    <s v="Hypertension"/>
    <x v="2"/>
    <n v="4744"/>
    <n v="8"/>
    <x v="1"/>
  </r>
  <r>
    <n v="9"/>
    <n v="56"/>
    <x v="0"/>
    <x v="3"/>
    <s v="Flu"/>
    <x v="1"/>
    <n v="4783"/>
    <n v="7"/>
    <x v="0"/>
  </r>
  <r>
    <n v="10"/>
    <n v="75"/>
    <x v="1"/>
    <x v="1"/>
    <s v="Asthma"/>
    <x v="2"/>
    <n v="2023"/>
    <n v="5"/>
    <x v="0"/>
  </r>
  <r>
    <n v="11"/>
    <n v="36"/>
    <x v="0"/>
    <x v="0"/>
    <s v="Hypertension"/>
    <x v="0"/>
    <n v="2281"/>
    <n v="6"/>
    <x v="2"/>
  </r>
  <r>
    <n v="12"/>
    <n v="40"/>
    <x v="1"/>
    <x v="1"/>
    <s v="Hypertension"/>
    <x v="2"/>
    <n v="3619"/>
    <n v="2"/>
    <x v="2"/>
  </r>
  <r>
    <n v="13"/>
    <n v="28"/>
    <x v="1"/>
    <x v="1"/>
    <s v="Asthma"/>
    <x v="2"/>
    <n v="1774"/>
    <n v="0"/>
    <x v="0"/>
  </r>
  <r>
    <n v="14"/>
    <n v="28"/>
    <x v="1"/>
    <x v="1"/>
    <s v="Diabetes"/>
    <x v="0"/>
    <n v="449"/>
    <n v="4"/>
    <x v="0"/>
  </r>
  <r>
    <n v="15"/>
    <n v="41"/>
    <x v="0"/>
    <x v="1"/>
    <s v="Hypertension"/>
    <x v="2"/>
    <n v="873"/>
    <n v="1"/>
    <x v="0"/>
  </r>
  <r>
    <n v="16"/>
    <n v="70"/>
    <x v="0"/>
    <x v="2"/>
    <s v="Diabetes"/>
    <x v="1"/>
    <n v="4733"/>
    <n v="4"/>
    <x v="1"/>
  </r>
  <r>
    <n v="17"/>
    <n v="53"/>
    <x v="0"/>
    <x v="0"/>
    <s v="Flu"/>
    <x v="1"/>
    <n v="2365"/>
    <n v="7"/>
    <x v="1"/>
  </r>
  <r>
    <n v="18"/>
    <n v="57"/>
    <x v="0"/>
    <x v="3"/>
    <s v="Diabetes"/>
    <x v="2"/>
    <n v="970"/>
    <n v="8"/>
    <x v="0"/>
  </r>
  <r>
    <n v="19"/>
    <n v="41"/>
    <x v="1"/>
    <x v="3"/>
    <s v="Flu"/>
    <x v="1"/>
    <n v="4162"/>
    <n v="1"/>
    <x v="1"/>
  </r>
  <r>
    <n v="20"/>
    <n v="20"/>
    <x v="0"/>
    <x v="0"/>
    <s v="Diabetes"/>
    <x v="2"/>
    <n v="4563"/>
    <n v="2"/>
    <x v="1"/>
  </r>
  <r>
    <n v="21"/>
    <n v="39"/>
    <x v="1"/>
    <x v="3"/>
    <s v="Hypertension"/>
    <x v="1"/>
    <n v="2184"/>
    <n v="2"/>
    <x v="2"/>
  </r>
  <r>
    <n v="22"/>
    <n v="70"/>
    <x v="1"/>
    <x v="0"/>
    <s v="Hypertension"/>
    <x v="1"/>
    <n v="1277"/>
    <n v="0"/>
    <x v="0"/>
  </r>
  <r>
    <n v="23"/>
    <n v="19"/>
    <x v="0"/>
    <x v="3"/>
    <s v="Flu"/>
    <x v="2"/>
    <n v="435"/>
    <n v="7"/>
    <x v="0"/>
  </r>
  <r>
    <n v="24"/>
    <n v="41"/>
    <x v="0"/>
    <x v="1"/>
    <s v="Asthma"/>
    <x v="1"/>
    <n v="588"/>
    <n v="5"/>
    <x v="1"/>
  </r>
  <r>
    <n v="25"/>
    <n v="61"/>
    <x v="0"/>
    <x v="3"/>
    <s v="Flu"/>
    <x v="2"/>
    <n v="3237"/>
    <n v="7"/>
    <x v="0"/>
  </r>
  <r>
    <n v="26"/>
    <n v="47"/>
    <x v="0"/>
    <x v="0"/>
    <s v="Flu"/>
    <x v="1"/>
    <n v="2048"/>
    <n v="8"/>
    <x v="2"/>
  </r>
  <r>
    <n v="27"/>
    <n v="55"/>
    <x v="0"/>
    <x v="0"/>
    <s v="Diabetes"/>
    <x v="1"/>
    <n v="4919"/>
    <n v="4"/>
    <x v="2"/>
  </r>
  <r>
    <n v="28"/>
    <n v="19"/>
    <x v="0"/>
    <x v="0"/>
    <s v="Diabetes"/>
    <x v="0"/>
    <n v="3014"/>
    <n v="2"/>
    <x v="2"/>
  </r>
  <r>
    <n v="29"/>
    <n v="77"/>
    <x v="0"/>
    <x v="0"/>
    <s v="Flu"/>
    <x v="0"/>
    <n v="3574"/>
    <n v="4"/>
    <x v="0"/>
  </r>
  <r>
    <n v="30"/>
    <n v="38"/>
    <x v="0"/>
    <x v="0"/>
    <s v="Hypertension"/>
    <x v="2"/>
    <n v="3478"/>
    <n v="4"/>
    <x v="0"/>
  </r>
  <r>
    <n v="31"/>
    <n v="50"/>
    <x v="1"/>
    <x v="2"/>
    <s v="Diabetes"/>
    <x v="0"/>
    <n v="1452"/>
    <n v="4"/>
    <x v="0"/>
  </r>
  <r>
    <n v="32"/>
    <n v="29"/>
    <x v="0"/>
    <x v="2"/>
    <s v="Asthma"/>
    <x v="2"/>
    <n v="4181"/>
    <n v="2"/>
    <x v="0"/>
  </r>
  <r>
    <n v="33"/>
    <n v="75"/>
    <x v="0"/>
    <x v="3"/>
    <s v="Diabetes"/>
    <x v="0"/>
    <n v="4873"/>
    <n v="9"/>
    <x v="0"/>
  </r>
  <r>
    <n v="34"/>
    <n v="39"/>
    <x v="1"/>
    <x v="0"/>
    <s v="Diabetes"/>
    <x v="1"/>
    <n v="2322"/>
    <n v="3"/>
    <x v="2"/>
  </r>
  <r>
    <n v="35"/>
    <n v="78"/>
    <x v="0"/>
    <x v="3"/>
    <s v="Asthma"/>
    <x v="2"/>
    <n v="4730"/>
    <n v="8"/>
    <x v="1"/>
  </r>
  <r>
    <n v="36"/>
    <n v="61"/>
    <x v="1"/>
    <x v="0"/>
    <s v="Flu"/>
    <x v="2"/>
    <n v="2350"/>
    <n v="9"/>
    <x v="2"/>
  </r>
  <r>
    <n v="37"/>
    <n v="42"/>
    <x v="1"/>
    <x v="0"/>
    <s v="Asthma"/>
    <x v="1"/>
    <n v="1529"/>
    <n v="8"/>
    <x v="0"/>
  </r>
  <r>
    <n v="38"/>
    <n v="66"/>
    <x v="0"/>
    <x v="2"/>
    <s v="Flu"/>
    <x v="2"/>
    <n v="1558"/>
    <n v="1"/>
    <x v="2"/>
  </r>
  <r>
    <n v="39"/>
    <n v="44"/>
    <x v="1"/>
    <x v="2"/>
    <s v="Flu"/>
    <x v="2"/>
    <n v="2682"/>
    <n v="7"/>
    <x v="0"/>
  </r>
  <r>
    <n v="40"/>
    <n v="76"/>
    <x v="1"/>
    <x v="1"/>
    <s v="Flu"/>
    <x v="0"/>
    <n v="4742"/>
    <n v="7"/>
    <x v="0"/>
  </r>
  <r>
    <n v="41"/>
    <n v="59"/>
    <x v="1"/>
    <x v="2"/>
    <s v="Asthma"/>
    <x v="2"/>
    <n v="2217"/>
    <n v="6"/>
    <x v="2"/>
  </r>
  <r>
    <n v="42"/>
    <n v="45"/>
    <x v="1"/>
    <x v="1"/>
    <s v="Flu"/>
    <x v="1"/>
    <n v="1531"/>
    <n v="7"/>
    <x v="0"/>
  </r>
  <r>
    <n v="43"/>
    <n v="77"/>
    <x v="0"/>
    <x v="1"/>
    <s v="Hypertension"/>
    <x v="0"/>
    <n v="4544"/>
    <n v="2"/>
    <x v="1"/>
  </r>
  <r>
    <n v="44"/>
    <n v="33"/>
    <x v="1"/>
    <x v="1"/>
    <s v="Asthma"/>
    <x v="0"/>
    <n v="4461"/>
    <n v="5"/>
    <x v="0"/>
  </r>
  <r>
    <n v="45"/>
    <n v="32"/>
    <x v="0"/>
    <x v="1"/>
    <s v="Hypertension"/>
    <x v="1"/>
    <n v="1558"/>
    <n v="0"/>
    <x v="1"/>
  </r>
  <r>
    <n v="46"/>
    <n v="79"/>
    <x v="1"/>
    <x v="1"/>
    <s v="Flu"/>
    <x v="1"/>
    <n v="4837"/>
    <n v="6"/>
    <x v="1"/>
  </r>
  <r>
    <n v="47"/>
    <n v="79"/>
    <x v="1"/>
    <x v="3"/>
    <s v="Diabetes"/>
    <x v="0"/>
    <n v="3377"/>
    <n v="0"/>
    <x v="0"/>
  </r>
  <r>
    <n v="48"/>
    <n v="64"/>
    <x v="1"/>
    <x v="2"/>
    <s v="Flu"/>
    <x v="2"/>
    <n v="2328"/>
    <n v="8"/>
    <x v="2"/>
  </r>
  <r>
    <n v="49"/>
    <n v="79"/>
    <x v="1"/>
    <x v="1"/>
    <s v="Hypertension"/>
    <x v="0"/>
    <n v="2380"/>
    <n v="0"/>
    <x v="1"/>
  </r>
  <r>
    <n v="50"/>
    <n v="68"/>
    <x v="0"/>
    <x v="0"/>
    <s v="Hypertension"/>
    <x v="1"/>
    <n v="337"/>
    <n v="0"/>
    <x v="2"/>
  </r>
  <r>
    <n v="51"/>
    <n v="61"/>
    <x v="0"/>
    <x v="2"/>
    <s v="Asthma"/>
    <x v="0"/>
    <n v="3672"/>
    <n v="6"/>
    <x v="1"/>
  </r>
  <r>
    <n v="52"/>
    <n v="72"/>
    <x v="1"/>
    <x v="2"/>
    <s v="Diabetes"/>
    <x v="1"/>
    <n v="3032"/>
    <n v="1"/>
    <x v="0"/>
  </r>
  <r>
    <n v="53"/>
    <n v="69"/>
    <x v="1"/>
    <x v="1"/>
    <s v="Asthma"/>
    <x v="0"/>
    <n v="3779"/>
    <n v="4"/>
    <x v="0"/>
  </r>
  <r>
    <n v="54"/>
    <n v="74"/>
    <x v="0"/>
    <x v="3"/>
    <s v="Hypertension"/>
    <x v="2"/>
    <n v="3231"/>
    <n v="7"/>
    <x v="1"/>
  </r>
  <r>
    <n v="55"/>
    <n v="20"/>
    <x v="1"/>
    <x v="1"/>
    <s v="Flu"/>
    <x v="0"/>
    <n v="4364"/>
    <n v="7"/>
    <x v="0"/>
  </r>
  <r>
    <n v="56"/>
    <n v="54"/>
    <x v="1"/>
    <x v="3"/>
    <s v="Diabetes"/>
    <x v="0"/>
    <n v="2793"/>
    <n v="2"/>
    <x v="1"/>
  </r>
  <r>
    <n v="57"/>
    <n v="68"/>
    <x v="1"/>
    <x v="0"/>
    <s v="Flu"/>
    <x v="1"/>
    <n v="4500"/>
    <n v="6"/>
    <x v="0"/>
  </r>
  <r>
    <n v="58"/>
    <n v="24"/>
    <x v="0"/>
    <x v="2"/>
    <s v="Flu"/>
    <x v="1"/>
    <n v="4018"/>
    <n v="2"/>
    <x v="2"/>
  </r>
  <r>
    <n v="59"/>
    <n v="38"/>
    <x v="0"/>
    <x v="0"/>
    <s v="Diabetes"/>
    <x v="1"/>
    <n v="4338"/>
    <n v="5"/>
    <x v="0"/>
  </r>
  <r>
    <n v="60"/>
    <n v="26"/>
    <x v="0"/>
    <x v="3"/>
    <s v="Asthma"/>
    <x v="0"/>
    <n v="4023"/>
    <n v="5"/>
    <x v="2"/>
  </r>
  <r>
    <n v="61"/>
    <n v="56"/>
    <x v="1"/>
    <x v="3"/>
    <s v="Flu"/>
    <x v="2"/>
    <n v="4242"/>
    <n v="2"/>
    <x v="0"/>
  </r>
  <r>
    <n v="62"/>
    <n v="35"/>
    <x v="1"/>
    <x v="0"/>
    <s v="Hypertension"/>
    <x v="1"/>
    <n v="2106"/>
    <n v="6"/>
    <x v="2"/>
  </r>
  <r>
    <n v="63"/>
    <n v="21"/>
    <x v="0"/>
    <x v="3"/>
    <s v="Flu"/>
    <x v="1"/>
    <n v="960"/>
    <n v="2"/>
    <x v="0"/>
  </r>
  <r>
    <n v="64"/>
    <n v="42"/>
    <x v="0"/>
    <x v="0"/>
    <s v="Diabetes"/>
    <x v="0"/>
    <n v="3645"/>
    <n v="7"/>
    <x v="2"/>
  </r>
  <r>
    <n v="65"/>
    <n v="77"/>
    <x v="0"/>
    <x v="2"/>
    <s v="Diabetes"/>
    <x v="1"/>
    <n v="1099"/>
    <n v="9"/>
    <x v="1"/>
  </r>
  <r>
    <n v="66"/>
    <n v="31"/>
    <x v="0"/>
    <x v="0"/>
    <s v="Diabetes"/>
    <x v="2"/>
    <n v="4655"/>
    <n v="3"/>
    <x v="1"/>
  </r>
  <r>
    <n v="67"/>
    <n v="67"/>
    <x v="1"/>
    <x v="2"/>
    <s v="Asthma"/>
    <x v="2"/>
    <n v="3147"/>
    <n v="0"/>
    <x v="2"/>
  </r>
  <r>
    <n v="68"/>
    <n v="75"/>
    <x v="0"/>
    <x v="0"/>
    <s v="Flu"/>
    <x v="1"/>
    <n v="1919"/>
    <n v="3"/>
    <x v="0"/>
  </r>
  <r>
    <n v="69"/>
    <n v="26"/>
    <x v="1"/>
    <x v="3"/>
    <s v="Asthma"/>
    <x v="1"/>
    <n v="480"/>
    <n v="6"/>
    <x v="2"/>
  </r>
  <r>
    <n v="70"/>
    <n v="43"/>
    <x v="0"/>
    <x v="0"/>
    <s v="Asthma"/>
    <x v="0"/>
    <n v="3466"/>
    <n v="3"/>
    <x v="0"/>
  </r>
  <r>
    <n v="71"/>
    <n v="70"/>
    <x v="1"/>
    <x v="3"/>
    <s v="Diabetes"/>
    <x v="2"/>
    <n v="2087"/>
    <n v="5"/>
    <x v="1"/>
  </r>
  <r>
    <n v="72"/>
    <n v="19"/>
    <x v="0"/>
    <x v="0"/>
    <s v="Diabetes"/>
    <x v="2"/>
    <n v="3466"/>
    <n v="8"/>
    <x v="0"/>
  </r>
  <r>
    <n v="73"/>
    <n v="37"/>
    <x v="0"/>
    <x v="0"/>
    <s v="Asthma"/>
    <x v="1"/>
    <n v="866"/>
    <n v="0"/>
    <x v="1"/>
  </r>
  <r>
    <n v="74"/>
    <n v="45"/>
    <x v="0"/>
    <x v="1"/>
    <s v="Flu"/>
    <x v="0"/>
    <n v="4388"/>
    <n v="4"/>
    <x v="0"/>
  </r>
  <r>
    <n v="75"/>
    <n v="64"/>
    <x v="0"/>
    <x v="3"/>
    <s v="Hypertension"/>
    <x v="2"/>
    <n v="871"/>
    <n v="6"/>
    <x v="0"/>
  </r>
  <r>
    <n v="76"/>
    <n v="77"/>
    <x v="1"/>
    <x v="1"/>
    <s v="Asthma"/>
    <x v="2"/>
    <n v="2169"/>
    <n v="0"/>
    <x v="0"/>
  </r>
  <r>
    <n v="77"/>
    <n v="24"/>
    <x v="0"/>
    <x v="3"/>
    <s v="Flu"/>
    <x v="0"/>
    <n v="4356"/>
    <n v="3"/>
    <x v="2"/>
  </r>
  <r>
    <n v="78"/>
    <n v="61"/>
    <x v="1"/>
    <x v="1"/>
    <s v="Diabetes"/>
    <x v="0"/>
    <n v="3322"/>
    <n v="5"/>
    <x v="2"/>
  </r>
  <r>
    <n v="79"/>
    <n v="78"/>
    <x v="1"/>
    <x v="2"/>
    <s v="Diabetes"/>
    <x v="2"/>
    <n v="4899"/>
    <n v="1"/>
    <x v="1"/>
  </r>
  <r>
    <n v="80"/>
    <n v="25"/>
    <x v="1"/>
    <x v="0"/>
    <s v="Flu"/>
    <x v="2"/>
    <n v="4977"/>
    <n v="9"/>
    <x v="1"/>
  </r>
  <r>
    <n v="81"/>
    <n v="64"/>
    <x v="1"/>
    <x v="3"/>
    <s v="Hypertension"/>
    <x v="0"/>
    <n v="4100"/>
    <n v="4"/>
    <x v="2"/>
  </r>
  <r>
    <n v="82"/>
    <n v="52"/>
    <x v="0"/>
    <x v="3"/>
    <s v="Diabetes"/>
    <x v="2"/>
    <n v="723"/>
    <n v="9"/>
    <x v="1"/>
  </r>
  <r>
    <n v="83"/>
    <n v="31"/>
    <x v="1"/>
    <x v="0"/>
    <s v="Diabetes"/>
    <x v="1"/>
    <n v="2593"/>
    <n v="0"/>
    <x v="2"/>
  </r>
  <r>
    <n v="84"/>
    <n v="34"/>
    <x v="1"/>
    <x v="3"/>
    <s v="Diabetes"/>
    <x v="1"/>
    <n v="3317"/>
    <n v="5"/>
    <x v="0"/>
  </r>
  <r>
    <n v="85"/>
    <n v="53"/>
    <x v="1"/>
    <x v="3"/>
    <s v="Flu"/>
    <x v="0"/>
    <n v="2793"/>
    <n v="5"/>
    <x v="1"/>
  </r>
  <r>
    <n v="86"/>
    <n v="67"/>
    <x v="0"/>
    <x v="1"/>
    <s v="Asthma"/>
    <x v="0"/>
    <n v="2168"/>
    <n v="3"/>
    <x v="1"/>
  </r>
  <r>
    <n v="87"/>
    <n v="57"/>
    <x v="0"/>
    <x v="3"/>
    <s v="Diabetes"/>
    <x v="0"/>
    <n v="1953"/>
    <n v="7"/>
    <x v="2"/>
  </r>
  <r>
    <n v="88"/>
    <n v="21"/>
    <x v="0"/>
    <x v="2"/>
    <s v="Asthma"/>
    <x v="1"/>
    <n v="2496"/>
    <n v="3"/>
    <x v="1"/>
  </r>
  <r>
    <n v="89"/>
    <n v="19"/>
    <x v="0"/>
    <x v="2"/>
    <s v="Hypertension"/>
    <x v="2"/>
    <n v="2461"/>
    <n v="7"/>
    <x v="1"/>
  </r>
  <r>
    <n v="90"/>
    <n v="79"/>
    <x v="1"/>
    <x v="0"/>
    <s v="Diabetes"/>
    <x v="1"/>
    <n v="2486"/>
    <n v="7"/>
    <x v="0"/>
  </r>
  <r>
    <n v="91"/>
    <n v="23"/>
    <x v="1"/>
    <x v="3"/>
    <s v="Diabetes"/>
    <x v="2"/>
    <n v="4402"/>
    <n v="4"/>
    <x v="1"/>
  </r>
  <r>
    <n v="92"/>
    <n v="71"/>
    <x v="0"/>
    <x v="0"/>
    <s v="Hypertension"/>
    <x v="1"/>
    <n v="3078"/>
    <n v="3"/>
    <x v="0"/>
  </r>
  <r>
    <n v="93"/>
    <n v="59"/>
    <x v="1"/>
    <x v="2"/>
    <s v="Diabetes"/>
    <x v="2"/>
    <n v="4343"/>
    <n v="1"/>
    <x v="2"/>
  </r>
  <r>
    <n v="94"/>
    <n v="21"/>
    <x v="1"/>
    <x v="3"/>
    <s v="Asthma"/>
    <x v="1"/>
    <n v="3844"/>
    <n v="2"/>
    <x v="1"/>
  </r>
  <r>
    <n v="95"/>
    <n v="71"/>
    <x v="1"/>
    <x v="3"/>
    <s v="Flu"/>
    <x v="0"/>
    <n v="4632"/>
    <n v="2"/>
    <x v="0"/>
  </r>
  <r>
    <n v="96"/>
    <n v="46"/>
    <x v="0"/>
    <x v="0"/>
    <s v="Asthma"/>
    <x v="1"/>
    <n v="2255"/>
    <n v="3"/>
    <x v="2"/>
  </r>
  <r>
    <n v="97"/>
    <n v="35"/>
    <x v="0"/>
    <x v="2"/>
    <s v="Flu"/>
    <x v="2"/>
    <n v="4920"/>
    <n v="3"/>
    <x v="1"/>
  </r>
  <r>
    <n v="98"/>
    <n v="43"/>
    <x v="1"/>
    <x v="3"/>
    <s v="Flu"/>
    <x v="1"/>
    <n v="1476"/>
    <n v="9"/>
    <x v="2"/>
  </r>
  <r>
    <n v="99"/>
    <n v="61"/>
    <x v="0"/>
    <x v="0"/>
    <s v="Asthma"/>
    <x v="1"/>
    <n v="2966"/>
    <n v="4"/>
    <x v="1"/>
  </r>
  <r>
    <n v="100"/>
    <n v="51"/>
    <x v="0"/>
    <x v="2"/>
    <s v="Asthma"/>
    <x v="1"/>
    <n v="502"/>
    <n v="3"/>
    <x v="2"/>
  </r>
  <r>
    <n v="101"/>
    <n v="27"/>
    <x v="0"/>
    <x v="0"/>
    <s v="Asthma"/>
    <x v="0"/>
    <n v="838"/>
    <n v="9"/>
    <x v="2"/>
  </r>
  <r>
    <n v="102"/>
    <n v="79"/>
    <x v="0"/>
    <x v="1"/>
    <s v="Asthma"/>
    <x v="1"/>
    <n v="255"/>
    <n v="7"/>
    <x v="0"/>
  </r>
  <r>
    <n v="103"/>
    <n v="53"/>
    <x v="0"/>
    <x v="3"/>
    <s v="Hypertension"/>
    <x v="0"/>
    <n v="725"/>
    <n v="5"/>
    <x v="2"/>
  </r>
  <r>
    <n v="104"/>
    <n v="31"/>
    <x v="1"/>
    <x v="1"/>
    <s v="Diabetes"/>
    <x v="0"/>
    <n v="4769"/>
    <n v="5"/>
    <x v="1"/>
  </r>
  <r>
    <n v="105"/>
    <n v="48"/>
    <x v="0"/>
    <x v="2"/>
    <s v="Flu"/>
    <x v="1"/>
    <n v="4323"/>
    <n v="7"/>
    <x v="1"/>
  </r>
  <r>
    <n v="106"/>
    <n v="65"/>
    <x v="1"/>
    <x v="1"/>
    <s v="Asthma"/>
    <x v="1"/>
    <n v="2325"/>
    <n v="6"/>
    <x v="0"/>
  </r>
  <r>
    <n v="107"/>
    <n v="32"/>
    <x v="1"/>
    <x v="1"/>
    <s v="Asthma"/>
    <x v="1"/>
    <n v="3487"/>
    <n v="9"/>
    <x v="1"/>
  </r>
  <r>
    <n v="108"/>
    <n v="25"/>
    <x v="0"/>
    <x v="2"/>
    <s v="Asthma"/>
    <x v="2"/>
    <n v="564"/>
    <n v="9"/>
    <x v="1"/>
  </r>
  <r>
    <n v="109"/>
    <n v="31"/>
    <x v="1"/>
    <x v="0"/>
    <s v="Hypertension"/>
    <x v="1"/>
    <n v="4821"/>
    <n v="7"/>
    <x v="1"/>
  </r>
  <r>
    <n v="110"/>
    <n v="40"/>
    <x v="1"/>
    <x v="1"/>
    <s v="Asthma"/>
    <x v="0"/>
    <n v="1846"/>
    <n v="1"/>
    <x v="2"/>
  </r>
  <r>
    <n v="111"/>
    <n v="77"/>
    <x v="1"/>
    <x v="0"/>
    <s v="Asthma"/>
    <x v="1"/>
    <n v="1118"/>
    <n v="8"/>
    <x v="2"/>
  </r>
  <r>
    <n v="112"/>
    <n v="74"/>
    <x v="0"/>
    <x v="1"/>
    <s v="Asthma"/>
    <x v="2"/>
    <n v="2997"/>
    <n v="0"/>
    <x v="1"/>
  </r>
  <r>
    <n v="113"/>
    <n v="79"/>
    <x v="0"/>
    <x v="0"/>
    <s v="Diabetes"/>
    <x v="1"/>
    <n v="1731"/>
    <n v="7"/>
    <x v="0"/>
  </r>
  <r>
    <n v="114"/>
    <n v="57"/>
    <x v="1"/>
    <x v="2"/>
    <s v="Hypertension"/>
    <x v="2"/>
    <n v="3545"/>
    <n v="3"/>
    <x v="2"/>
  </r>
  <r>
    <n v="115"/>
    <n v="38"/>
    <x v="0"/>
    <x v="1"/>
    <s v="Asthma"/>
    <x v="2"/>
    <n v="2106"/>
    <n v="3"/>
    <x v="0"/>
  </r>
  <r>
    <n v="116"/>
    <n v="33"/>
    <x v="0"/>
    <x v="2"/>
    <s v="Flu"/>
    <x v="1"/>
    <n v="3286"/>
    <n v="4"/>
    <x v="1"/>
  </r>
  <r>
    <n v="117"/>
    <n v="62"/>
    <x v="0"/>
    <x v="1"/>
    <s v="Flu"/>
    <x v="0"/>
    <n v="4780"/>
    <n v="7"/>
    <x v="1"/>
  </r>
  <r>
    <n v="118"/>
    <n v="35"/>
    <x v="0"/>
    <x v="2"/>
    <s v="Flu"/>
    <x v="2"/>
    <n v="2275"/>
    <n v="4"/>
    <x v="2"/>
  </r>
  <r>
    <n v="119"/>
    <n v="64"/>
    <x v="1"/>
    <x v="2"/>
    <s v="Hypertension"/>
    <x v="1"/>
    <n v="913"/>
    <n v="7"/>
    <x v="1"/>
  </r>
  <r>
    <n v="120"/>
    <n v="70"/>
    <x v="1"/>
    <x v="1"/>
    <s v="Hypertension"/>
    <x v="1"/>
    <n v="1262"/>
    <n v="9"/>
    <x v="2"/>
  </r>
  <r>
    <n v="121"/>
    <n v="41"/>
    <x v="0"/>
    <x v="1"/>
    <s v="Flu"/>
    <x v="0"/>
    <n v="2176"/>
    <n v="0"/>
    <x v="1"/>
  </r>
  <r>
    <n v="122"/>
    <n v="43"/>
    <x v="0"/>
    <x v="1"/>
    <s v="Asthma"/>
    <x v="2"/>
    <n v="1496"/>
    <n v="9"/>
    <x v="1"/>
  </r>
  <r>
    <n v="123"/>
    <n v="42"/>
    <x v="1"/>
    <x v="3"/>
    <s v="Hypertension"/>
    <x v="2"/>
    <n v="325"/>
    <n v="8"/>
    <x v="2"/>
  </r>
  <r>
    <n v="124"/>
    <n v="77"/>
    <x v="1"/>
    <x v="0"/>
    <s v="Flu"/>
    <x v="1"/>
    <n v="4832"/>
    <n v="5"/>
    <x v="2"/>
  </r>
  <r>
    <n v="125"/>
    <n v="77"/>
    <x v="0"/>
    <x v="3"/>
    <s v="Flu"/>
    <x v="1"/>
    <n v="3796"/>
    <n v="2"/>
    <x v="2"/>
  </r>
  <r>
    <n v="126"/>
    <n v="77"/>
    <x v="1"/>
    <x v="3"/>
    <s v="Asthma"/>
    <x v="0"/>
    <n v="3483"/>
    <n v="7"/>
    <x v="1"/>
  </r>
  <r>
    <n v="127"/>
    <n v="62"/>
    <x v="0"/>
    <x v="2"/>
    <s v="Diabetes"/>
    <x v="0"/>
    <n v="1803"/>
    <n v="8"/>
    <x v="1"/>
  </r>
  <r>
    <n v="128"/>
    <n v="58"/>
    <x v="0"/>
    <x v="1"/>
    <s v="Hypertension"/>
    <x v="2"/>
    <n v="266"/>
    <n v="5"/>
    <x v="0"/>
  </r>
  <r>
    <n v="129"/>
    <n v="46"/>
    <x v="1"/>
    <x v="0"/>
    <s v="Asthma"/>
    <x v="2"/>
    <n v="432"/>
    <n v="6"/>
    <x v="2"/>
  </r>
  <r>
    <n v="130"/>
    <n v="32"/>
    <x v="1"/>
    <x v="2"/>
    <s v="Flu"/>
    <x v="1"/>
    <n v="2356"/>
    <n v="0"/>
    <x v="1"/>
  </r>
  <r>
    <n v="131"/>
    <n v="62"/>
    <x v="0"/>
    <x v="3"/>
    <s v="Flu"/>
    <x v="2"/>
    <n v="1369"/>
    <n v="4"/>
    <x v="1"/>
  </r>
  <r>
    <n v="132"/>
    <n v="18"/>
    <x v="0"/>
    <x v="1"/>
    <s v="Asthma"/>
    <x v="0"/>
    <n v="2358"/>
    <n v="4"/>
    <x v="2"/>
  </r>
  <r>
    <n v="133"/>
    <n v="42"/>
    <x v="1"/>
    <x v="2"/>
    <s v="Hypertension"/>
    <x v="0"/>
    <n v="4406"/>
    <n v="9"/>
    <x v="0"/>
  </r>
  <r>
    <n v="134"/>
    <n v="24"/>
    <x v="0"/>
    <x v="1"/>
    <s v="Diabetes"/>
    <x v="1"/>
    <n v="1693"/>
    <n v="3"/>
    <x v="2"/>
  </r>
  <r>
    <n v="135"/>
    <n v="26"/>
    <x v="1"/>
    <x v="2"/>
    <s v="Diabetes"/>
    <x v="0"/>
    <n v="4918"/>
    <n v="5"/>
    <x v="0"/>
  </r>
  <r>
    <n v="136"/>
    <n v="41"/>
    <x v="0"/>
    <x v="1"/>
    <s v="Flu"/>
    <x v="0"/>
    <n v="4207"/>
    <n v="6"/>
    <x v="1"/>
  </r>
  <r>
    <n v="137"/>
    <n v="18"/>
    <x v="1"/>
    <x v="3"/>
    <s v="Hypertension"/>
    <x v="0"/>
    <n v="2672"/>
    <n v="8"/>
    <x v="0"/>
  </r>
  <r>
    <n v="138"/>
    <n v="61"/>
    <x v="1"/>
    <x v="0"/>
    <s v="Diabetes"/>
    <x v="0"/>
    <n v="2860"/>
    <n v="0"/>
    <x v="1"/>
  </r>
  <r>
    <n v="139"/>
    <n v="25"/>
    <x v="1"/>
    <x v="3"/>
    <s v="Hypertension"/>
    <x v="1"/>
    <n v="2939"/>
    <n v="5"/>
    <x v="2"/>
  </r>
  <r>
    <n v="140"/>
    <n v="41"/>
    <x v="0"/>
    <x v="0"/>
    <s v="Hypertension"/>
    <x v="1"/>
    <n v="1961"/>
    <n v="6"/>
    <x v="2"/>
  </r>
  <r>
    <n v="141"/>
    <n v="28"/>
    <x v="0"/>
    <x v="1"/>
    <s v="Flu"/>
    <x v="2"/>
    <n v="3714"/>
    <n v="2"/>
    <x v="2"/>
  </r>
  <r>
    <n v="142"/>
    <n v="68"/>
    <x v="1"/>
    <x v="2"/>
    <s v="Diabetes"/>
    <x v="0"/>
    <n v="2175"/>
    <n v="7"/>
    <x v="0"/>
  </r>
  <r>
    <n v="143"/>
    <n v="34"/>
    <x v="0"/>
    <x v="3"/>
    <s v="Asthma"/>
    <x v="2"/>
    <n v="2562"/>
    <n v="4"/>
    <x v="1"/>
  </r>
  <r>
    <n v="144"/>
    <n v="25"/>
    <x v="1"/>
    <x v="0"/>
    <s v="Flu"/>
    <x v="1"/>
    <n v="1076"/>
    <n v="8"/>
    <x v="2"/>
  </r>
  <r>
    <n v="145"/>
    <n v="52"/>
    <x v="1"/>
    <x v="3"/>
    <s v="Diabetes"/>
    <x v="1"/>
    <n v="4012"/>
    <n v="4"/>
    <x v="2"/>
  </r>
  <r>
    <n v="146"/>
    <n v="52"/>
    <x v="0"/>
    <x v="0"/>
    <s v="Diabetes"/>
    <x v="1"/>
    <n v="3648"/>
    <n v="8"/>
    <x v="1"/>
  </r>
  <r>
    <n v="147"/>
    <n v="50"/>
    <x v="0"/>
    <x v="3"/>
    <s v="Diabetes"/>
    <x v="1"/>
    <n v="1512"/>
    <n v="9"/>
    <x v="2"/>
  </r>
  <r>
    <n v="148"/>
    <n v="76"/>
    <x v="1"/>
    <x v="0"/>
    <s v="Diabetes"/>
    <x v="1"/>
    <n v="1660"/>
    <n v="3"/>
    <x v="1"/>
  </r>
  <r>
    <n v="149"/>
    <n v="22"/>
    <x v="0"/>
    <x v="0"/>
    <s v="Diabetes"/>
    <x v="1"/>
    <n v="2909"/>
    <n v="8"/>
    <x v="1"/>
  </r>
  <r>
    <n v="150"/>
    <n v="59"/>
    <x v="0"/>
    <x v="1"/>
    <s v="Hypertension"/>
    <x v="1"/>
    <n v="2524"/>
    <n v="4"/>
    <x v="1"/>
  </r>
  <r>
    <n v="151"/>
    <n v="56"/>
    <x v="1"/>
    <x v="0"/>
    <s v="Flu"/>
    <x v="0"/>
    <n v="1933"/>
    <n v="9"/>
    <x v="1"/>
  </r>
  <r>
    <n v="152"/>
    <n v="75"/>
    <x v="1"/>
    <x v="1"/>
    <s v="Hypertension"/>
    <x v="2"/>
    <n v="1805"/>
    <n v="8"/>
    <x v="1"/>
  </r>
  <r>
    <n v="153"/>
    <n v="58"/>
    <x v="0"/>
    <x v="0"/>
    <s v="Asthma"/>
    <x v="1"/>
    <n v="2763"/>
    <n v="2"/>
    <x v="0"/>
  </r>
  <r>
    <n v="154"/>
    <n v="45"/>
    <x v="1"/>
    <x v="2"/>
    <s v="Diabetes"/>
    <x v="0"/>
    <n v="3621"/>
    <n v="3"/>
    <x v="2"/>
  </r>
  <r>
    <n v="155"/>
    <n v="24"/>
    <x v="1"/>
    <x v="2"/>
    <s v="Flu"/>
    <x v="0"/>
    <n v="3717"/>
    <n v="8"/>
    <x v="0"/>
  </r>
  <r>
    <n v="156"/>
    <n v="26"/>
    <x v="0"/>
    <x v="2"/>
    <s v="Diabetes"/>
    <x v="2"/>
    <n v="2597"/>
    <n v="9"/>
    <x v="2"/>
  </r>
  <r>
    <n v="157"/>
    <n v="25"/>
    <x v="1"/>
    <x v="0"/>
    <s v="Flu"/>
    <x v="1"/>
    <n v="3935"/>
    <n v="5"/>
    <x v="0"/>
  </r>
  <r>
    <n v="158"/>
    <n v="29"/>
    <x v="1"/>
    <x v="1"/>
    <s v="Hypertension"/>
    <x v="2"/>
    <n v="3070"/>
    <n v="1"/>
    <x v="1"/>
  </r>
  <r>
    <n v="159"/>
    <n v="51"/>
    <x v="0"/>
    <x v="1"/>
    <s v="Flu"/>
    <x v="1"/>
    <n v="1360"/>
    <n v="6"/>
    <x v="2"/>
  </r>
  <r>
    <n v="160"/>
    <n v="50"/>
    <x v="0"/>
    <x v="0"/>
    <s v="Asthma"/>
    <x v="0"/>
    <n v="442"/>
    <n v="1"/>
    <x v="2"/>
  </r>
  <r>
    <n v="161"/>
    <n v="65"/>
    <x v="1"/>
    <x v="2"/>
    <s v="Asthma"/>
    <x v="0"/>
    <n v="2790"/>
    <n v="1"/>
    <x v="0"/>
  </r>
  <r>
    <n v="162"/>
    <n v="72"/>
    <x v="1"/>
    <x v="2"/>
    <s v="Flu"/>
    <x v="0"/>
    <n v="1263"/>
    <n v="0"/>
    <x v="0"/>
  </r>
  <r>
    <n v="163"/>
    <n v="40"/>
    <x v="0"/>
    <x v="1"/>
    <s v="Flu"/>
    <x v="0"/>
    <n v="4524"/>
    <n v="2"/>
    <x v="2"/>
  </r>
  <r>
    <n v="164"/>
    <n v="79"/>
    <x v="0"/>
    <x v="2"/>
    <s v="Flu"/>
    <x v="2"/>
    <n v="2795"/>
    <n v="5"/>
    <x v="0"/>
  </r>
  <r>
    <n v="165"/>
    <n v="41"/>
    <x v="0"/>
    <x v="3"/>
    <s v="Flu"/>
    <x v="1"/>
    <n v="1119"/>
    <n v="7"/>
    <x v="0"/>
  </r>
  <r>
    <n v="166"/>
    <n v="54"/>
    <x v="0"/>
    <x v="1"/>
    <s v="Asthma"/>
    <x v="1"/>
    <n v="205"/>
    <n v="8"/>
    <x v="0"/>
  </r>
  <r>
    <n v="167"/>
    <n v="52"/>
    <x v="1"/>
    <x v="2"/>
    <s v="Diabetes"/>
    <x v="2"/>
    <n v="667"/>
    <n v="6"/>
    <x v="1"/>
  </r>
  <r>
    <n v="168"/>
    <n v="61"/>
    <x v="0"/>
    <x v="1"/>
    <s v="Flu"/>
    <x v="1"/>
    <n v="4370"/>
    <n v="3"/>
    <x v="1"/>
  </r>
  <r>
    <n v="169"/>
    <n v="57"/>
    <x v="0"/>
    <x v="3"/>
    <s v="Flu"/>
    <x v="0"/>
    <n v="203"/>
    <n v="5"/>
    <x v="0"/>
  </r>
  <r>
    <n v="170"/>
    <n v="39"/>
    <x v="1"/>
    <x v="1"/>
    <s v="Asthma"/>
    <x v="1"/>
    <n v="845"/>
    <n v="4"/>
    <x v="0"/>
  </r>
  <r>
    <n v="171"/>
    <n v="44"/>
    <x v="0"/>
    <x v="1"/>
    <s v="Asthma"/>
    <x v="0"/>
    <n v="317"/>
    <n v="7"/>
    <x v="1"/>
  </r>
  <r>
    <n v="172"/>
    <n v="52"/>
    <x v="1"/>
    <x v="1"/>
    <s v="Hypertension"/>
    <x v="2"/>
    <n v="3128"/>
    <n v="0"/>
    <x v="1"/>
  </r>
  <r>
    <n v="173"/>
    <n v="18"/>
    <x v="0"/>
    <x v="1"/>
    <s v="Flu"/>
    <x v="1"/>
    <n v="2751"/>
    <n v="0"/>
    <x v="2"/>
  </r>
  <r>
    <n v="174"/>
    <n v="52"/>
    <x v="0"/>
    <x v="3"/>
    <s v="Hypertension"/>
    <x v="2"/>
    <n v="4489"/>
    <n v="5"/>
    <x v="2"/>
  </r>
  <r>
    <n v="175"/>
    <n v="54"/>
    <x v="0"/>
    <x v="0"/>
    <s v="Asthma"/>
    <x v="1"/>
    <n v="1046"/>
    <n v="9"/>
    <x v="1"/>
  </r>
  <r>
    <n v="176"/>
    <n v="64"/>
    <x v="1"/>
    <x v="1"/>
    <s v="Asthma"/>
    <x v="0"/>
    <n v="2962"/>
    <n v="1"/>
    <x v="0"/>
  </r>
  <r>
    <n v="177"/>
    <n v="31"/>
    <x v="1"/>
    <x v="1"/>
    <s v="Diabetes"/>
    <x v="2"/>
    <n v="1341"/>
    <n v="4"/>
    <x v="0"/>
  </r>
  <r>
    <n v="178"/>
    <n v="20"/>
    <x v="0"/>
    <x v="2"/>
    <s v="Flu"/>
    <x v="1"/>
    <n v="2010"/>
    <n v="0"/>
    <x v="0"/>
  </r>
  <r>
    <n v="179"/>
    <n v="18"/>
    <x v="1"/>
    <x v="1"/>
    <s v="Hypertension"/>
    <x v="0"/>
    <n v="923"/>
    <n v="6"/>
    <x v="0"/>
  </r>
  <r>
    <n v="180"/>
    <n v="22"/>
    <x v="1"/>
    <x v="2"/>
    <s v="Asthma"/>
    <x v="2"/>
    <n v="424"/>
    <n v="0"/>
    <x v="2"/>
  </r>
  <r>
    <n v="181"/>
    <n v="43"/>
    <x v="1"/>
    <x v="0"/>
    <s v="Asthma"/>
    <x v="2"/>
    <n v="4827"/>
    <n v="3"/>
    <x v="1"/>
  </r>
  <r>
    <n v="182"/>
    <n v="72"/>
    <x v="1"/>
    <x v="3"/>
    <s v="Hypertension"/>
    <x v="1"/>
    <n v="4408"/>
    <n v="8"/>
    <x v="0"/>
  </r>
  <r>
    <n v="183"/>
    <n v="31"/>
    <x v="1"/>
    <x v="3"/>
    <s v="Diabetes"/>
    <x v="1"/>
    <n v="4854"/>
    <n v="0"/>
    <x v="2"/>
  </r>
  <r>
    <n v="184"/>
    <n v="56"/>
    <x v="1"/>
    <x v="0"/>
    <s v="Asthma"/>
    <x v="1"/>
    <n v="2248"/>
    <n v="3"/>
    <x v="0"/>
  </r>
  <r>
    <n v="185"/>
    <n v="44"/>
    <x v="0"/>
    <x v="3"/>
    <s v="Flu"/>
    <x v="0"/>
    <n v="4949"/>
    <n v="5"/>
    <x v="1"/>
  </r>
  <r>
    <n v="186"/>
    <n v="26"/>
    <x v="0"/>
    <x v="0"/>
    <s v="Asthma"/>
    <x v="1"/>
    <n v="4615"/>
    <n v="5"/>
    <x v="2"/>
  </r>
  <r>
    <n v="187"/>
    <n v="32"/>
    <x v="1"/>
    <x v="0"/>
    <s v="Flu"/>
    <x v="2"/>
    <n v="1773"/>
    <n v="7"/>
    <x v="1"/>
  </r>
  <r>
    <n v="188"/>
    <n v="32"/>
    <x v="0"/>
    <x v="0"/>
    <s v="Hypertension"/>
    <x v="2"/>
    <n v="2028"/>
    <n v="0"/>
    <x v="1"/>
  </r>
  <r>
    <n v="189"/>
    <n v="43"/>
    <x v="0"/>
    <x v="3"/>
    <s v="Flu"/>
    <x v="1"/>
    <n v="2117"/>
    <n v="6"/>
    <x v="2"/>
  </r>
  <r>
    <n v="190"/>
    <n v="59"/>
    <x v="0"/>
    <x v="2"/>
    <s v="Hypertension"/>
    <x v="1"/>
    <n v="4434"/>
    <n v="0"/>
    <x v="2"/>
  </r>
  <r>
    <n v="191"/>
    <n v="77"/>
    <x v="0"/>
    <x v="0"/>
    <s v="Flu"/>
    <x v="2"/>
    <n v="2226"/>
    <n v="6"/>
    <x v="2"/>
  </r>
  <r>
    <n v="192"/>
    <n v="30"/>
    <x v="1"/>
    <x v="1"/>
    <s v="Hypertension"/>
    <x v="0"/>
    <n v="3944"/>
    <n v="2"/>
    <x v="2"/>
  </r>
  <r>
    <n v="193"/>
    <n v="68"/>
    <x v="0"/>
    <x v="3"/>
    <s v="Flu"/>
    <x v="1"/>
    <n v="1101"/>
    <n v="7"/>
    <x v="2"/>
  </r>
  <r>
    <n v="194"/>
    <n v="49"/>
    <x v="0"/>
    <x v="0"/>
    <s v="Diabetes"/>
    <x v="1"/>
    <n v="4985"/>
    <n v="2"/>
    <x v="2"/>
  </r>
  <r>
    <n v="195"/>
    <n v="56"/>
    <x v="1"/>
    <x v="0"/>
    <s v="Flu"/>
    <x v="2"/>
    <n v="2239"/>
    <n v="0"/>
    <x v="2"/>
  </r>
  <r>
    <n v="196"/>
    <n v="66"/>
    <x v="1"/>
    <x v="1"/>
    <s v="Flu"/>
    <x v="1"/>
    <n v="209"/>
    <n v="7"/>
    <x v="0"/>
  </r>
  <r>
    <n v="197"/>
    <n v="69"/>
    <x v="0"/>
    <x v="2"/>
    <s v="Diabetes"/>
    <x v="0"/>
    <n v="460"/>
    <n v="2"/>
    <x v="1"/>
  </r>
  <r>
    <n v="198"/>
    <n v="78"/>
    <x v="0"/>
    <x v="2"/>
    <s v="Asthma"/>
    <x v="2"/>
    <n v="1873"/>
    <n v="1"/>
    <x v="2"/>
  </r>
  <r>
    <n v="199"/>
    <n v="49"/>
    <x v="0"/>
    <x v="2"/>
    <s v="Asthma"/>
    <x v="1"/>
    <n v="2419"/>
    <n v="0"/>
    <x v="0"/>
  </r>
  <r>
    <n v="200"/>
    <n v="21"/>
    <x v="0"/>
    <x v="0"/>
    <s v="Flu"/>
    <x v="2"/>
    <n v="2260"/>
    <n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79DBE7-D559-47AF-A9CD-5E4D085309C2}" name="PivotTable5" cacheId="4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9">
    <pivotField showAll="0"/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numFmtId="164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Ag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FCA26C-5070-412E-BCF2-85ED44B032A7}" name="PivotTable6" cacheId="4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9">
    <pivotField showAll="0"/>
    <pivotField showAll="0"/>
    <pivotField showAll="0"/>
    <pivotField axis="axisRow" dataField="1" showAll="0">
      <items count="5">
        <item x="0"/>
        <item x="3"/>
        <item x="2"/>
        <item x="1"/>
        <item t="default"/>
      </items>
    </pivotField>
    <pivotField showAll="0"/>
    <pivotField showAll="0"/>
    <pivotField numFmtId="164"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Regio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CFB997-95CF-46D9-A944-32CD4CE54E09}" name="PivotTable7" cacheId="4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9"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showAll="0"/>
  </pivotFields>
  <rowItems count="1">
    <i/>
  </rowItems>
  <colItems count="1">
    <i/>
  </colItems>
  <dataFields count="1">
    <dataField name="Sum of Treatment_Cost" fld="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D88B36-8051-4AFB-B394-0B069A17C006}" name="PivotTable1" cacheId="4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2:B5" firstHeaderRow="1" firstDataRow="1" firstDataCol="1"/>
  <pivotFields count="9"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Treatment_Cost" fld="6" baseField="0" baseItem="0" numFmtId="164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9BCE3D-1477-4A92-BF57-3A86ED737BD2}" name="PivotTable2" cacheId="4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2:B7" firstHeaderRow="1" firstDataRow="1" firstDataCol="1"/>
  <pivotFields count="9"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3"/>
        <item x="2"/>
        <item x="1"/>
        <item t="default"/>
      </items>
    </pivotField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reatment_Cost" fld="6" baseField="0" baseItem="0" numFmtId="164"/>
  </dataField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E7C15C-D4C4-444B-998C-5AE6858CE172}" name="PivotTable3" cacheId="4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:B5" firstHeaderRow="1" firstDataRow="1" firstDataCol="1"/>
  <pivotFields count="9"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dataField="1" compact="0" outline="0" showAll="0"/>
    <pivotField compact="0" outline="0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Length_of_Stay_Days" fld="7" subtotal="count" baseField="0" baseItem="0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57AFAA-97AB-40A4-B65C-D3052E2F32EE}" name="PivotTable4" cacheId="4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:B6" firstHeaderRow="1" firstDataRow="1" firstDataCol="1"/>
  <pivotFields count="9"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5">
        <item x="0"/>
        <item x="3"/>
        <item x="2"/>
        <item x="1"/>
        <item t="default"/>
      </items>
    </pivotField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dataField="1" compact="0" numFmtId="164" outline="0" showAll="0"/>
    <pivotField compact="0" outline="0" showAll="0"/>
    <pivotField compact="0" outline="0" showAll="0">
      <items count="4">
        <item x="1"/>
        <item x="2"/>
        <item x="0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reatment_Cost" fld="6" baseField="0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54161-BCBC-49D6-BA7B-A661AFD39742}">
  <dimension ref="A1:I201"/>
  <sheetViews>
    <sheetView topLeftCell="A151" workbookViewId="0">
      <selection activeCell="A2" sqref="A2"/>
    </sheetView>
  </sheetViews>
  <sheetFormatPr defaultRowHeight="15"/>
  <cols>
    <col min="1" max="1" width="9.85546875" bestFit="1" customWidth="1"/>
    <col min="2" max="2" width="4.140625" bestFit="1" customWidth="1"/>
    <col min="3" max="3" width="7.42578125" bestFit="1" customWidth="1"/>
    <col min="4" max="4" width="14.28515625" bestFit="1" customWidth="1"/>
    <col min="5" max="5" width="12.5703125" bestFit="1" customWidth="1"/>
    <col min="6" max="6" width="15.85546875" bestFit="1" customWidth="1"/>
    <col min="7" max="7" width="14.7109375" bestFit="1" customWidth="1"/>
    <col min="8" max="8" width="19.140625" bestFit="1" customWidth="1"/>
    <col min="9" max="9" width="10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56</v>
      </c>
      <c r="C2" t="s">
        <v>9</v>
      </c>
      <c r="D2" t="s">
        <v>10</v>
      </c>
      <c r="E2" t="s">
        <v>11</v>
      </c>
      <c r="F2" t="s">
        <v>12</v>
      </c>
      <c r="G2">
        <v>3836</v>
      </c>
      <c r="H2">
        <v>7</v>
      </c>
      <c r="I2" t="s">
        <v>13</v>
      </c>
    </row>
    <row r="3" spans="1:9">
      <c r="A3">
        <v>2</v>
      </c>
      <c r="B3">
        <v>69</v>
      </c>
      <c r="C3" t="s">
        <v>14</v>
      </c>
      <c r="D3" t="s">
        <v>15</v>
      </c>
      <c r="E3" t="s">
        <v>11</v>
      </c>
      <c r="F3" t="s">
        <v>16</v>
      </c>
      <c r="G3">
        <v>2924</v>
      </c>
      <c r="H3">
        <v>1</v>
      </c>
      <c r="I3" t="s">
        <v>17</v>
      </c>
    </row>
    <row r="4" spans="1:9">
      <c r="A4">
        <v>3</v>
      </c>
      <c r="B4">
        <v>46</v>
      </c>
      <c r="C4" t="s">
        <v>14</v>
      </c>
      <c r="D4" t="s">
        <v>18</v>
      </c>
      <c r="E4" t="s">
        <v>19</v>
      </c>
      <c r="F4" t="s">
        <v>20</v>
      </c>
      <c r="G4">
        <v>4378</v>
      </c>
      <c r="H4">
        <v>3</v>
      </c>
      <c r="I4" t="s">
        <v>17</v>
      </c>
    </row>
    <row r="5" spans="1:9">
      <c r="A5">
        <v>4</v>
      </c>
      <c r="B5">
        <v>32</v>
      </c>
      <c r="C5" t="s">
        <v>14</v>
      </c>
      <c r="D5" t="s">
        <v>10</v>
      </c>
      <c r="E5" t="s">
        <v>21</v>
      </c>
      <c r="F5" t="s">
        <v>20</v>
      </c>
      <c r="G5">
        <v>2248</v>
      </c>
      <c r="H5">
        <v>0</v>
      </c>
      <c r="I5" t="s">
        <v>17</v>
      </c>
    </row>
    <row r="6" spans="1:9">
      <c r="A6">
        <v>5</v>
      </c>
      <c r="B6">
        <v>60</v>
      </c>
      <c r="C6" t="s">
        <v>14</v>
      </c>
      <c r="D6" t="s">
        <v>15</v>
      </c>
      <c r="E6" t="s">
        <v>11</v>
      </c>
      <c r="F6" t="s">
        <v>16</v>
      </c>
      <c r="G6">
        <v>4346</v>
      </c>
      <c r="H6">
        <v>4</v>
      </c>
      <c r="I6" t="s">
        <v>22</v>
      </c>
    </row>
    <row r="7" spans="1:9">
      <c r="A7">
        <v>6</v>
      </c>
      <c r="B7">
        <v>25</v>
      </c>
      <c r="C7" t="s">
        <v>14</v>
      </c>
      <c r="D7" t="s">
        <v>23</v>
      </c>
      <c r="E7" t="s">
        <v>21</v>
      </c>
      <c r="F7" t="s">
        <v>16</v>
      </c>
      <c r="G7">
        <v>4980</v>
      </c>
      <c r="H7">
        <v>8</v>
      </c>
      <c r="I7" t="s">
        <v>17</v>
      </c>
    </row>
    <row r="8" spans="1:9">
      <c r="A8">
        <v>7</v>
      </c>
      <c r="B8">
        <v>78</v>
      </c>
      <c r="C8" t="s">
        <v>14</v>
      </c>
      <c r="D8" t="s">
        <v>18</v>
      </c>
      <c r="E8" t="s">
        <v>21</v>
      </c>
      <c r="F8" t="s">
        <v>16</v>
      </c>
      <c r="G8">
        <v>916</v>
      </c>
      <c r="H8">
        <v>0</v>
      </c>
      <c r="I8" t="s">
        <v>17</v>
      </c>
    </row>
    <row r="9" spans="1:9">
      <c r="A9">
        <v>8</v>
      </c>
      <c r="B9">
        <v>38</v>
      </c>
      <c r="C9" t="s">
        <v>14</v>
      </c>
      <c r="D9" t="s">
        <v>23</v>
      </c>
      <c r="E9" t="s">
        <v>24</v>
      </c>
      <c r="F9" t="s">
        <v>20</v>
      </c>
      <c r="G9">
        <v>4744</v>
      </c>
      <c r="H9">
        <v>8</v>
      </c>
      <c r="I9" t="s">
        <v>17</v>
      </c>
    </row>
    <row r="10" spans="1:9">
      <c r="A10">
        <v>9</v>
      </c>
      <c r="B10">
        <v>56</v>
      </c>
      <c r="C10" t="s">
        <v>9</v>
      </c>
      <c r="D10" t="s">
        <v>23</v>
      </c>
      <c r="E10" t="s">
        <v>19</v>
      </c>
      <c r="F10" t="s">
        <v>16</v>
      </c>
      <c r="G10">
        <v>4783</v>
      </c>
      <c r="H10">
        <v>7</v>
      </c>
      <c r="I10" t="s">
        <v>13</v>
      </c>
    </row>
    <row r="11" spans="1:9">
      <c r="A11">
        <v>10</v>
      </c>
      <c r="B11">
        <v>75</v>
      </c>
      <c r="C11" t="s">
        <v>14</v>
      </c>
      <c r="D11" t="s">
        <v>15</v>
      </c>
      <c r="E11" t="s">
        <v>11</v>
      </c>
      <c r="F11" t="s">
        <v>20</v>
      </c>
      <c r="G11">
        <v>2023</v>
      </c>
      <c r="H11">
        <v>5</v>
      </c>
      <c r="I11" t="s">
        <v>13</v>
      </c>
    </row>
    <row r="12" spans="1:9">
      <c r="A12">
        <v>11</v>
      </c>
      <c r="B12">
        <v>36</v>
      </c>
      <c r="C12" t="s">
        <v>9</v>
      </c>
      <c r="D12" t="s">
        <v>10</v>
      </c>
      <c r="E12" t="s">
        <v>24</v>
      </c>
      <c r="F12" t="s">
        <v>12</v>
      </c>
      <c r="G12">
        <v>2281</v>
      </c>
      <c r="H12">
        <v>6</v>
      </c>
      <c r="I12" t="s">
        <v>22</v>
      </c>
    </row>
    <row r="13" spans="1:9">
      <c r="A13">
        <v>12</v>
      </c>
      <c r="B13">
        <v>40</v>
      </c>
      <c r="C13" t="s">
        <v>14</v>
      </c>
      <c r="D13" t="s">
        <v>15</v>
      </c>
      <c r="E13" t="s">
        <v>24</v>
      </c>
      <c r="F13" t="s">
        <v>20</v>
      </c>
      <c r="G13">
        <v>3619</v>
      </c>
      <c r="H13">
        <v>2</v>
      </c>
      <c r="I13" t="s">
        <v>22</v>
      </c>
    </row>
    <row r="14" spans="1:9">
      <c r="A14">
        <v>13</v>
      </c>
      <c r="B14">
        <v>28</v>
      </c>
      <c r="C14" t="s">
        <v>14</v>
      </c>
      <c r="D14" t="s">
        <v>15</v>
      </c>
      <c r="E14" t="s">
        <v>11</v>
      </c>
      <c r="F14" t="s">
        <v>20</v>
      </c>
      <c r="G14">
        <v>1774</v>
      </c>
      <c r="H14">
        <v>0</v>
      </c>
      <c r="I14" t="s">
        <v>13</v>
      </c>
    </row>
    <row r="15" spans="1:9">
      <c r="A15">
        <v>14</v>
      </c>
      <c r="B15">
        <v>28</v>
      </c>
      <c r="C15" t="s">
        <v>14</v>
      </c>
      <c r="D15" t="s">
        <v>15</v>
      </c>
      <c r="E15" t="s">
        <v>21</v>
      </c>
      <c r="F15" t="s">
        <v>12</v>
      </c>
      <c r="G15">
        <v>449</v>
      </c>
      <c r="H15">
        <v>4</v>
      </c>
      <c r="I15" t="s">
        <v>13</v>
      </c>
    </row>
    <row r="16" spans="1:9">
      <c r="A16">
        <v>15</v>
      </c>
      <c r="B16">
        <v>41</v>
      </c>
      <c r="C16" t="s">
        <v>9</v>
      </c>
      <c r="D16" t="s">
        <v>15</v>
      </c>
      <c r="E16" t="s">
        <v>24</v>
      </c>
      <c r="F16" t="s">
        <v>20</v>
      </c>
      <c r="G16">
        <v>873</v>
      </c>
      <c r="H16">
        <v>1</v>
      </c>
      <c r="I16" t="s">
        <v>13</v>
      </c>
    </row>
    <row r="17" spans="1:9">
      <c r="A17">
        <v>16</v>
      </c>
      <c r="B17">
        <v>70</v>
      </c>
      <c r="C17" t="s">
        <v>9</v>
      </c>
      <c r="D17" t="s">
        <v>18</v>
      </c>
      <c r="E17" t="s">
        <v>21</v>
      </c>
      <c r="F17" t="s">
        <v>16</v>
      </c>
      <c r="G17">
        <v>4733</v>
      </c>
      <c r="H17">
        <v>4</v>
      </c>
      <c r="I17" t="s">
        <v>17</v>
      </c>
    </row>
    <row r="18" spans="1:9">
      <c r="A18">
        <v>17</v>
      </c>
      <c r="B18">
        <v>53</v>
      </c>
      <c r="C18" t="s">
        <v>9</v>
      </c>
      <c r="D18" t="s">
        <v>10</v>
      </c>
      <c r="E18" t="s">
        <v>19</v>
      </c>
      <c r="F18" t="s">
        <v>16</v>
      </c>
      <c r="G18">
        <v>2365</v>
      </c>
      <c r="H18">
        <v>7</v>
      </c>
      <c r="I18" t="s">
        <v>17</v>
      </c>
    </row>
    <row r="19" spans="1:9">
      <c r="A19">
        <v>18</v>
      </c>
      <c r="B19">
        <v>57</v>
      </c>
      <c r="C19" t="s">
        <v>9</v>
      </c>
      <c r="D19" t="s">
        <v>23</v>
      </c>
      <c r="E19" t="s">
        <v>21</v>
      </c>
      <c r="F19" t="s">
        <v>20</v>
      </c>
      <c r="G19">
        <v>970</v>
      </c>
      <c r="H19">
        <v>8</v>
      </c>
      <c r="I19" t="s">
        <v>13</v>
      </c>
    </row>
    <row r="20" spans="1:9">
      <c r="A20">
        <v>19</v>
      </c>
      <c r="B20">
        <v>41</v>
      </c>
      <c r="C20" t="s">
        <v>14</v>
      </c>
      <c r="D20" t="s">
        <v>23</v>
      </c>
      <c r="E20" t="s">
        <v>19</v>
      </c>
      <c r="F20" t="s">
        <v>16</v>
      </c>
      <c r="G20">
        <v>4162</v>
      </c>
      <c r="H20">
        <v>1</v>
      </c>
      <c r="I20" t="s">
        <v>17</v>
      </c>
    </row>
    <row r="21" spans="1:9">
      <c r="A21">
        <v>20</v>
      </c>
      <c r="B21">
        <v>20</v>
      </c>
      <c r="C21" t="s">
        <v>9</v>
      </c>
      <c r="D21" t="s">
        <v>10</v>
      </c>
      <c r="E21" t="s">
        <v>21</v>
      </c>
      <c r="F21" t="s">
        <v>20</v>
      </c>
      <c r="G21">
        <v>4563</v>
      </c>
      <c r="H21">
        <v>2</v>
      </c>
      <c r="I21" t="s">
        <v>17</v>
      </c>
    </row>
    <row r="22" spans="1:9">
      <c r="A22">
        <v>21</v>
      </c>
      <c r="B22">
        <v>39</v>
      </c>
      <c r="C22" t="s">
        <v>14</v>
      </c>
      <c r="D22" t="s">
        <v>23</v>
      </c>
      <c r="E22" t="s">
        <v>24</v>
      </c>
      <c r="F22" t="s">
        <v>16</v>
      </c>
      <c r="G22">
        <v>2184</v>
      </c>
      <c r="H22">
        <v>2</v>
      </c>
      <c r="I22" t="s">
        <v>22</v>
      </c>
    </row>
    <row r="23" spans="1:9">
      <c r="A23">
        <v>22</v>
      </c>
      <c r="B23">
        <v>70</v>
      </c>
      <c r="C23" t="s">
        <v>14</v>
      </c>
      <c r="D23" t="s">
        <v>10</v>
      </c>
      <c r="E23" t="s">
        <v>24</v>
      </c>
      <c r="F23" t="s">
        <v>16</v>
      </c>
      <c r="G23">
        <v>1277</v>
      </c>
      <c r="H23">
        <v>0</v>
      </c>
      <c r="I23" t="s">
        <v>13</v>
      </c>
    </row>
    <row r="24" spans="1:9">
      <c r="A24">
        <v>23</v>
      </c>
      <c r="B24">
        <v>19</v>
      </c>
      <c r="C24" t="s">
        <v>9</v>
      </c>
      <c r="D24" t="s">
        <v>23</v>
      </c>
      <c r="E24" t="s">
        <v>19</v>
      </c>
      <c r="F24" t="s">
        <v>20</v>
      </c>
      <c r="G24">
        <v>435</v>
      </c>
      <c r="H24">
        <v>7</v>
      </c>
      <c r="I24" t="s">
        <v>13</v>
      </c>
    </row>
    <row r="25" spans="1:9">
      <c r="A25">
        <v>24</v>
      </c>
      <c r="B25">
        <v>41</v>
      </c>
      <c r="C25" t="s">
        <v>9</v>
      </c>
      <c r="D25" t="s">
        <v>15</v>
      </c>
      <c r="E25" t="s">
        <v>11</v>
      </c>
      <c r="F25" t="s">
        <v>16</v>
      </c>
      <c r="G25">
        <v>588</v>
      </c>
      <c r="H25">
        <v>5</v>
      </c>
      <c r="I25" t="s">
        <v>17</v>
      </c>
    </row>
    <row r="26" spans="1:9">
      <c r="A26">
        <v>25</v>
      </c>
      <c r="B26">
        <v>61</v>
      </c>
      <c r="C26" t="s">
        <v>9</v>
      </c>
      <c r="D26" t="s">
        <v>23</v>
      </c>
      <c r="E26" t="s">
        <v>19</v>
      </c>
      <c r="F26" t="s">
        <v>20</v>
      </c>
      <c r="G26">
        <v>3237</v>
      </c>
      <c r="H26">
        <v>7</v>
      </c>
      <c r="I26" t="s">
        <v>13</v>
      </c>
    </row>
    <row r="27" spans="1:9">
      <c r="A27">
        <v>26</v>
      </c>
      <c r="B27">
        <v>47</v>
      </c>
      <c r="C27" t="s">
        <v>9</v>
      </c>
      <c r="D27" t="s">
        <v>10</v>
      </c>
      <c r="E27" t="s">
        <v>19</v>
      </c>
      <c r="F27" t="s">
        <v>16</v>
      </c>
      <c r="G27">
        <v>2048</v>
      </c>
      <c r="H27">
        <v>8</v>
      </c>
      <c r="I27" t="s">
        <v>22</v>
      </c>
    </row>
    <row r="28" spans="1:9">
      <c r="A28">
        <v>27</v>
      </c>
      <c r="B28">
        <v>55</v>
      </c>
      <c r="C28" t="s">
        <v>9</v>
      </c>
      <c r="D28" t="s">
        <v>10</v>
      </c>
      <c r="E28" t="s">
        <v>21</v>
      </c>
      <c r="F28" t="s">
        <v>16</v>
      </c>
      <c r="G28">
        <v>4919</v>
      </c>
      <c r="H28">
        <v>4</v>
      </c>
      <c r="I28" t="s">
        <v>22</v>
      </c>
    </row>
    <row r="29" spans="1:9">
      <c r="A29">
        <v>28</v>
      </c>
      <c r="B29">
        <v>19</v>
      </c>
      <c r="C29" t="s">
        <v>9</v>
      </c>
      <c r="D29" t="s">
        <v>10</v>
      </c>
      <c r="E29" t="s">
        <v>21</v>
      </c>
      <c r="F29" t="s">
        <v>12</v>
      </c>
      <c r="G29">
        <v>3014</v>
      </c>
      <c r="H29">
        <v>2</v>
      </c>
      <c r="I29" t="s">
        <v>22</v>
      </c>
    </row>
    <row r="30" spans="1:9">
      <c r="A30">
        <v>29</v>
      </c>
      <c r="B30">
        <v>77</v>
      </c>
      <c r="C30" t="s">
        <v>9</v>
      </c>
      <c r="D30" t="s">
        <v>10</v>
      </c>
      <c r="E30" t="s">
        <v>19</v>
      </c>
      <c r="F30" t="s">
        <v>12</v>
      </c>
      <c r="G30">
        <v>3574</v>
      </c>
      <c r="H30">
        <v>4</v>
      </c>
      <c r="I30" t="s">
        <v>13</v>
      </c>
    </row>
    <row r="31" spans="1:9">
      <c r="A31">
        <v>30</v>
      </c>
      <c r="B31">
        <v>38</v>
      </c>
      <c r="C31" t="s">
        <v>9</v>
      </c>
      <c r="D31" t="s">
        <v>10</v>
      </c>
      <c r="E31" t="s">
        <v>24</v>
      </c>
      <c r="F31" t="s">
        <v>20</v>
      </c>
      <c r="G31">
        <v>3478</v>
      </c>
      <c r="H31">
        <v>4</v>
      </c>
      <c r="I31" t="s">
        <v>13</v>
      </c>
    </row>
    <row r="32" spans="1:9">
      <c r="A32">
        <v>31</v>
      </c>
      <c r="B32">
        <v>50</v>
      </c>
      <c r="C32" t="s">
        <v>14</v>
      </c>
      <c r="D32" t="s">
        <v>18</v>
      </c>
      <c r="E32" t="s">
        <v>21</v>
      </c>
      <c r="F32" t="s">
        <v>12</v>
      </c>
      <c r="G32">
        <v>1452</v>
      </c>
      <c r="H32">
        <v>4</v>
      </c>
      <c r="I32" t="s">
        <v>13</v>
      </c>
    </row>
    <row r="33" spans="1:9">
      <c r="A33">
        <v>32</v>
      </c>
      <c r="B33">
        <v>29</v>
      </c>
      <c r="C33" t="s">
        <v>9</v>
      </c>
      <c r="D33" t="s">
        <v>18</v>
      </c>
      <c r="E33" t="s">
        <v>11</v>
      </c>
      <c r="F33" t="s">
        <v>20</v>
      </c>
      <c r="G33">
        <v>4181</v>
      </c>
      <c r="H33">
        <v>2</v>
      </c>
      <c r="I33" t="s">
        <v>13</v>
      </c>
    </row>
    <row r="34" spans="1:9">
      <c r="A34">
        <v>33</v>
      </c>
      <c r="B34">
        <v>75</v>
      </c>
      <c r="C34" t="s">
        <v>9</v>
      </c>
      <c r="D34" t="s">
        <v>23</v>
      </c>
      <c r="E34" t="s">
        <v>21</v>
      </c>
      <c r="F34" t="s">
        <v>12</v>
      </c>
      <c r="G34">
        <v>4873</v>
      </c>
      <c r="H34">
        <v>9</v>
      </c>
      <c r="I34" t="s">
        <v>13</v>
      </c>
    </row>
    <row r="35" spans="1:9">
      <c r="A35">
        <v>34</v>
      </c>
      <c r="B35">
        <v>39</v>
      </c>
      <c r="C35" t="s">
        <v>14</v>
      </c>
      <c r="D35" t="s">
        <v>10</v>
      </c>
      <c r="E35" t="s">
        <v>21</v>
      </c>
      <c r="F35" t="s">
        <v>16</v>
      </c>
      <c r="G35">
        <v>2322</v>
      </c>
      <c r="H35">
        <v>3</v>
      </c>
      <c r="I35" t="s">
        <v>22</v>
      </c>
    </row>
    <row r="36" spans="1:9">
      <c r="A36">
        <v>35</v>
      </c>
      <c r="B36">
        <v>78</v>
      </c>
      <c r="C36" t="s">
        <v>9</v>
      </c>
      <c r="D36" t="s">
        <v>23</v>
      </c>
      <c r="E36" t="s">
        <v>11</v>
      </c>
      <c r="F36" t="s">
        <v>20</v>
      </c>
      <c r="G36">
        <v>4730</v>
      </c>
      <c r="H36">
        <v>8</v>
      </c>
      <c r="I36" t="s">
        <v>17</v>
      </c>
    </row>
    <row r="37" spans="1:9">
      <c r="A37">
        <v>36</v>
      </c>
      <c r="B37">
        <v>61</v>
      </c>
      <c r="C37" t="s">
        <v>14</v>
      </c>
      <c r="D37" t="s">
        <v>10</v>
      </c>
      <c r="E37" t="s">
        <v>19</v>
      </c>
      <c r="F37" t="s">
        <v>20</v>
      </c>
      <c r="G37">
        <v>2350</v>
      </c>
      <c r="H37">
        <v>9</v>
      </c>
      <c r="I37" t="s">
        <v>22</v>
      </c>
    </row>
    <row r="38" spans="1:9">
      <c r="A38">
        <v>37</v>
      </c>
      <c r="B38">
        <v>42</v>
      </c>
      <c r="C38" t="s">
        <v>14</v>
      </c>
      <c r="D38" t="s">
        <v>10</v>
      </c>
      <c r="E38" t="s">
        <v>11</v>
      </c>
      <c r="F38" t="s">
        <v>16</v>
      </c>
      <c r="G38">
        <v>1529</v>
      </c>
      <c r="H38">
        <v>8</v>
      </c>
      <c r="I38" t="s">
        <v>13</v>
      </c>
    </row>
    <row r="39" spans="1:9">
      <c r="A39">
        <v>38</v>
      </c>
      <c r="B39">
        <v>66</v>
      </c>
      <c r="C39" t="s">
        <v>9</v>
      </c>
      <c r="D39" t="s">
        <v>18</v>
      </c>
      <c r="E39" t="s">
        <v>19</v>
      </c>
      <c r="F39" t="s">
        <v>20</v>
      </c>
      <c r="G39">
        <v>1558</v>
      </c>
      <c r="H39">
        <v>1</v>
      </c>
      <c r="I39" t="s">
        <v>22</v>
      </c>
    </row>
    <row r="40" spans="1:9">
      <c r="A40">
        <v>39</v>
      </c>
      <c r="B40">
        <v>44</v>
      </c>
      <c r="C40" t="s">
        <v>14</v>
      </c>
      <c r="D40" t="s">
        <v>18</v>
      </c>
      <c r="E40" t="s">
        <v>19</v>
      </c>
      <c r="F40" t="s">
        <v>20</v>
      </c>
      <c r="G40">
        <v>2682</v>
      </c>
      <c r="H40">
        <v>7</v>
      </c>
      <c r="I40" t="s">
        <v>13</v>
      </c>
    </row>
    <row r="41" spans="1:9">
      <c r="A41">
        <v>40</v>
      </c>
      <c r="B41">
        <v>76</v>
      </c>
      <c r="C41" t="s">
        <v>14</v>
      </c>
      <c r="D41" t="s">
        <v>15</v>
      </c>
      <c r="E41" t="s">
        <v>19</v>
      </c>
      <c r="F41" t="s">
        <v>12</v>
      </c>
      <c r="G41">
        <v>4742</v>
      </c>
      <c r="H41">
        <v>7</v>
      </c>
      <c r="I41" t="s">
        <v>13</v>
      </c>
    </row>
    <row r="42" spans="1:9">
      <c r="A42">
        <v>41</v>
      </c>
      <c r="B42">
        <v>59</v>
      </c>
      <c r="C42" t="s">
        <v>14</v>
      </c>
      <c r="D42" t="s">
        <v>18</v>
      </c>
      <c r="E42" t="s">
        <v>11</v>
      </c>
      <c r="F42" t="s">
        <v>20</v>
      </c>
      <c r="G42">
        <v>2217</v>
      </c>
      <c r="H42">
        <v>6</v>
      </c>
      <c r="I42" t="s">
        <v>22</v>
      </c>
    </row>
    <row r="43" spans="1:9">
      <c r="A43">
        <v>42</v>
      </c>
      <c r="B43">
        <v>45</v>
      </c>
      <c r="C43" t="s">
        <v>14</v>
      </c>
      <c r="D43" t="s">
        <v>15</v>
      </c>
      <c r="E43" t="s">
        <v>19</v>
      </c>
      <c r="F43" t="s">
        <v>16</v>
      </c>
      <c r="G43">
        <v>1531</v>
      </c>
      <c r="H43">
        <v>7</v>
      </c>
      <c r="I43" t="s">
        <v>13</v>
      </c>
    </row>
    <row r="44" spans="1:9">
      <c r="A44">
        <v>43</v>
      </c>
      <c r="B44">
        <v>77</v>
      </c>
      <c r="C44" t="s">
        <v>9</v>
      </c>
      <c r="D44" t="s">
        <v>15</v>
      </c>
      <c r="E44" t="s">
        <v>24</v>
      </c>
      <c r="F44" t="s">
        <v>12</v>
      </c>
      <c r="G44">
        <v>4544</v>
      </c>
      <c r="H44">
        <v>2</v>
      </c>
      <c r="I44" t="s">
        <v>17</v>
      </c>
    </row>
    <row r="45" spans="1:9">
      <c r="A45">
        <v>44</v>
      </c>
      <c r="B45">
        <v>33</v>
      </c>
      <c r="C45" t="s">
        <v>14</v>
      </c>
      <c r="D45" t="s">
        <v>15</v>
      </c>
      <c r="E45" t="s">
        <v>11</v>
      </c>
      <c r="F45" t="s">
        <v>12</v>
      </c>
      <c r="G45">
        <v>4461</v>
      </c>
      <c r="H45">
        <v>5</v>
      </c>
      <c r="I45" t="s">
        <v>13</v>
      </c>
    </row>
    <row r="46" spans="1:9">
      <c r="A46">
        <v>45</v>
      </c>
      <c r="B46">
        <v>32</v>
      </c>
      <c r="C46" t="s">
        <v>9</v>
      </c>
      <c r="D46" t="s">
        <v>15</v>
      </c>
      <c r="E46" t="s">
        <v>24</v>
      </c>
      <c r="F46" t="s">
        <v>16</v>
      </c>
      <c r="G46">
        <v>1558</v>
      </c>
      <c r="H46">
        <v>0</v>
      </c>
      <c r="I46" t="s">
        <v>17</v>
      </c>
    </row>
    <row r="47" spans="1:9">
      <c r="A47">
        <v>46</v>
      </c>
      <c r="B47">
        <v>79</v>
      </c>
      <c r="C47" t="s">
        <v>14</v>
      </c>
      <c r="D47" t="s">
        <v>15</v>
      </c>
      <c r="E47" t="s">
        <v>19</v>
      </c>
      <c r="F47" t="s">
        <v>16</v>
      </c>
      <c r="G47">
        <v>4837</v>
      </c>
      <c r="H47">
        <v>6</v>
      </c>
      <c r="I47" t="s">
        <v>17</v>
      </c>
    </row>
    <row r="48" spans="1:9">
      <c r="A48">
        <v>47</v>
      </c>
      <c r="B48">
        <v>79</v>
      </c>
      <c r="C48" t="s">
        <v>14</v>
      </c>
      <c r="D48" t="s">
        <v>23</v>
      </c>
      <c r="E48" t="s">
        <v>21</v>
      </c>
      <c r="F48" t="s">
        <v>12</v>
      </c>
      <c r="G48">
        <v>3377</v>
      </c>
      <c r="H48">
        <v>0</v>
      </c>
      <c r="I48" t="s">
        <v>13</v>
      </c>
    </row>
    <row r="49" spans="1:9">
      <c r="A49">
        <v>48</v>
      </c>
      <c r="B49">
        <v>64</v>
      </c>
      <c r="C49" t="s">
        <v>14</v>
      </c>
      <c r="D49" t="s">
        <v>18</v>
      </c>
      <c r="E49" t="s">
        <v>19</v>
      </c>
      <c r="F49" t="s">
        <v>20</v>
      </c>
      <c r="G49">
        <v>2328</v>
      </c>
      <c r="H49">
        <v>8</v>
      </c>
      <c r="I49" t="s">
        <v>22</v>
      </c>
    </row>
    <row r="50" spans="1:9">
      <c r="A50">
        <v>49</v>
      </c>
      <c r="B50">
        <v>79</v>
      </c>
      <c r="C50" t="s">
        <v>14</v>
      </c>
      <c r="D50" t="s">
        <v>15</v>
      </c>
      <c r="E50" t="s">
        <v>24</v>
      </c>
      <c r="F50" t="s">
        <v>12</v>
      </c>
      <c r="G50">
        <v>2380</v>
      </c>
      <c r="H50">
        <v>0</v>
      </c>
      <c r="I50" t="s">
        <v>17</v>
      </c>
    </row>
    <row r="51" spans="1:9">
      <c r="A51">
        <v>50</v>
      </c>
      <c r="B51">
        <v>68</v>
      </c>
      <c r="C51" t="s">
        <v>9</v>
      </c>
      <c r="D51" t="s">
        <v>10</v>
      </c>
      <c r="E51" t="s">
        <v>24</v>
      </c>
      <c r="F51" t="s">
        <v>16</v>
      </c>
      <c r="G51">
        <v>337</v>
      </c>
      <c r="H51">
        <v>0</v>
      </c>
      <c r="I51" t="s">
        <v>22</v>
      </c>
    </row>
    <row r="52" spans="1:9">
      <c r="A52">
        <v>51</v>
      </c>
      <c r="B52">
        <v>61</v>
      </c>
      <c r="C52" t="s">
        <v>9</v>
      </c>
      <c r="D52" t="s">
        <v>18</v>
      </c>
      <c r="E52" t="s">
        <v>11</v>
      </c>
      <c r="F52" t="s">
        <v>12</v>
      </c>
      <c r="G52">
        <v>3672</v>
      </c>
      <c r="H52">
        <v>6</v>
      </c>
      <c r="I52" t="s">
        <v>17</v>
      </c>
    </row>
    <row r="53" spans="1:9">
      <c r="A53">
        <v>52</v>
      </c>
      <c r="B53">
        <v>72</v>
      </c>
      <c r="C53" t="s">
        <v>14</v>
      </c>
      <c r="D53" t="s">
        <v>18</v>
      </c>
      <c r="E53" t="s">
        <v>21</v>
      </c>
      <c r="F53" t="s">
        <v>16</v>
      </c>
      <c r="G53">
        <v>3032</v>
      </c>
      <c r="H53">
        <v>1</v>
      </c>
      <c r="I53" t="s">
        <v>13</v>
      </c>
    </row>
    <row r="54" spans="1:9">
      <c r="A54">
        <v>53</v>
      </c>
      <c r="B54">
        <v>69</v>
      </c>
      <c r="C54" t="s">
        <v>14</v>
      </c>
      <c r="D54" t="s">
        <v>15</v>
      </c>
      <c r="E54" t="s">
        <v>11</v>
      </c>
      <c r="F54" t="s">
        <v>12</v>
      </c>
      <c r="G54">
        <v>3779</v>
      </c>
      <c r="H54">
        <v>4</v>
      </c>
      <c r="I54" t="s">
        <v>13</v>
      </c>
    </row>
    <row r="55" spans="1:9">
      <c r="A55">
        <v>54</v>
      </c>
      <c r="B55">
        <v>74</v>
      </c>
      <c r="C55" t="s">
        <v>9</v>
      </c>
      <c r="D55" t="s">
        <v>23</v>
      </c>
      <c r="E55" t="s">
        <v>24</v>
      </c>
      <c r="F55" t="s">
        <v>20</v>
      </c>
      <c r="G55">
        <v>3231</v>
      </c>
      <c r="H55">
        <v>7</v>
      </c>
      <c r="I55" t="s">
        <v>17</v>
      </c>
    </row>
    <row r="56" spans="1:9">
      <c r="A56">
        <v>55</v>
      </c>
      <c r="B56">
        <v>20</v>
      </c>
      <c r="C56" t="s">
        <v>14</v>
      </c>
      <c r="D56" t="s">
        <v>15</v>
      </c>
      <c r="E56" t="s">
        <v>19</v>
      </c>
      <c r="F56" t="s">
        <v>12</v>
      </c>
      <c r="G56">
        <v>4364</v>
      </c>
      <c r="H56">
        <v>7</v>
      </c>
      <c r="I56" t="s">
        <v>13</v>
      </c>
    </row>
    <row r="57" spans="1:9">
      <c r="A57">
        <v>56</v>
      </c>
      <c r="B57">
        <v>54</v>
      </c>
      <c r="C57" t="s">
        <v>14</v>
      </c>
      <c r="D57" t="s">
        <v>23</v>
      </c>
      <c r="E57" t="s">
        <v>21</v>
      </c>
      <c r="F57" t="s">
        <v>12</v>
      </c>
      <c r="G57">
        <v>2793</v>
      </c>
      <c r="H57">
        <v>2</v>
      </c>
      <c r="I57" t="s">
        <v>17</v>
      </c>
    </row>
    <row r="58" spans="1:9">
      <c r="A58">
        <v>57</v>
      </c>
      <c r="B58">
        <v>68</v>
      </c>
      <c r="C58" t="s">
        <v>14</v>
      </c>
      <c r="D58" t="s">
        <v>10</v>
      </c>
      <c r="E58" t="s">
        <v>19</v>
      </c>
      <c r="F58" t="s">
        <v>16</v>
      </c>
      <c r="G58">
        <v>4500</v>
      </c>
      <c r="H58">
        <v>6</v>
      </c>
      <c r="I58" t="s">
        <v>13</v>
      </c>
    </row>
    <row r="59" spans="1:9">
      <c r="A59">
        <v>58</v>
      </c>
      <c r="B59">
        <v>24</v>
      </c>
      <c r="C59" t="s">
        <v>9</v>
      </c>
      <c r="D59" t="s">
        <v>18</v>
      </c>
      <c r="E59" t="s">
        <v>19</v>
      </c>
      <c r="F59" t="s">
        <v>16</v>
      </c>
      <c r="G59">
        <v>4018</v>
      </c>
      <c r="H59">
        <v>2</v>
      </c>
      <c r="I59" t="s">
        <v>22</v>
      </c>
    </row>
    <row r="60" spans="1:9">
      <c r="A60">
        <v>59</v>
      </c>
      <c r="B60">
        <v>38</v>
      </c>
      <c r="C60" t="s">
        <v>9</v>
      </c>
      <c r="D60" t="s">
        <v>10</v>
      </c>
      <c r="E60" t="s">
        <v>21</v>
      </c>
      <c r="F60" t="s">
        <v>16</v>
      </c>
      <c r="G60">
        <v>4338</v>
      </c>
      <c r="H60">
        <v>5</v>
      </c>
      <c r="I60" t="s">
        <v>13</v>
      </c>
    </row>
    <row r="61" spans="1:9">
      <c r="A61">
        <v>60</v>
      </c>
      <c r="B61">
        <v>26</v>
      </c>
      <c r="C61" t="s">
        <v>9</v>
      </c>
      <c r="D61" t="s">
        <v>23</v>
      </c>
      <c r="E61" t="s">
        <v>11</v>
      </c>
      <c r="F61" t="s">
        <v>12</v>
      </c>
      <c r="G61">
        <v>4023</v>
      </c>
      <c r="H61">
        <v>5</v>
      </c>
      <c r="I61" t="s">
        <v>22</v>
      </c>
    </row>
    <row r="62" spans="1:9">
      <c r="A62">
        <v>61</v>
      </c>
      <c r="B62">
        <v>56</v>
      </c>
      <c r="C62" t="s">
        <v>14</v>
      </c>
      <c r="D62" t="s">
        <v>23</v>
      </c>
      <c r="E62" t="s">
        <v>19</v>
      </c>
      <c r="F62" t="s">
        <v>20</v>
      </c>
      <c r="G62">
        <v>4242</v>
      </c>
      <c r="H62">
        <v>2</v>
      </c>
      <c r="I62" t="s">
        <v>13</v>
      </c>
    </row>
    <row r="63" spans="1:9">
      <c r="A63">
        <v>62</v>
      </c>
      <c r="B63">
        <v>35</v>
      </c>
      <c r="C63" t="s">
        <v>14</v>
      </c>
      <c r="D63" t="s">
        <v>10</v>
      </c>
      <c r="E63" t="s">
        <v>24</v>
      </c>
      <c r="F63" t="s">
        <v>16</v>
      </c>
      <c r="G63">
        <v>2106</v>
      </c>
      <c r="H63">
        <v>6</v>
      </c>
      <c r="I63" t="s">
        <v>22</v>
      </c>
    </row>
    <row r="64" spans="1:9">
      <c r="A64">
        <v>63</v>
      </c>
      <c r="B64">
        <v>21</v>
      </c>
      <c r="C64" t="s">
        <v>9</v>
      </c>
      <c r="D64" t="s">
        <v>23</v>
      </c>
      <c r="E64" t="s">
        <v>19</v>
      </c>
      <c r="F64" t="s">
        <v>16</v>
      </c>
      <c r="G64">
        <v>960</v>
      </c>
      <c r="H64">
        <v>2</v>
      </c>
      <c r="I64" t="s">
        <v>13</v>
      </c>
    </row>
    <row r="65" spans="1:9">
      <c r="A65">
        <v>64</v>
      </c>
      <c r="B65">
        <v>42</v>
      </c>
      <c r="C65" t="s">
        <v>9</v>
      </c>
      <c r="D65" t="s">
        <v>10</v>
      </c>
      <c r="E65" t="s">
        <v>21</v>
      </c>
      <c r="F65" t="s">
        <v>12</v>
      </c>
      <c r="G65">
        <v>3645</v>
      </c>
      <c r="H65">
        <v>7</v>
      </c>
      <c r="I65" t="s">
        <v>22</v>
      </c>
    </row>
    <row r="66" spans="1:9">
      <c r="A66">
        <v>65</v>
      </c>
      <c r="B66">
        <v>77</v>
      </c>
      <c r="C66" t="s">
        <v>9</v>
      </c>
      <c r="D66" t="s">
        <v>18</v>
      </c>
      <c r="E66" t="s">
        <v>21</v>
      </c>
      <c r="F66" t="s">
        <v>16</v>
      </c>
      <c r="G66">
        <v>1099</v>
      </c>
      <c r="H66">
        <v>9</v>
      </c>
      <c r="I66" t="s">
        <v>17</v>
      </c>
    </row>
    <row r="67" spans="1:9">
      <c r="A67">
        <v>66</v>
      </c>
      <c r="B67">
        <v>31</v>
      </c>
      <c r="C67" t="s">
        <v>9</v>
      </c>
      <c r="D67" t="s">
        <v>10</v>
      </c>
      <c r="E67" t="s">
        <v>21</v>
      </c>
      <c r="F67" t="s">
        <v>20</v>
      </c>
      <c r="G67">
        <v>4655</v>
      </c>
      <c r="H67">
        <v>3</v>
      </c>
      <c r="I67" t="s">
        <v>17</v>
      </c>
    </row>
    <row r="68" spans="1:9">
      <c r="A68">
        <v>67</v>
      </c>
      <c r="B68">
        <v>67</v>
      </c>
      <c r="C68" t="s">
        <v>14</v>
      </c>
      <c r="D68" t="s">
        <v>18</v>
      </c>
      <c r="E68" t="s">
        <v>11</v>
      </c>
      <c r="F68" t="s">
        <v>20</v>
      </c>
      <c r="G68">
        <v>3147</v>
      </c>
      <c r="H68">
        <v>0</v>
      </c>
      <c r="I68" t="s">
        <v>22</v>
      </c>
    </row>
    <row r="69" spans="1:9">
      <c r="A69">
        <v>68</v>
      </c>
      <c r="B69">
        <v>75</v>
      </c>
      <c r="C69" t="s">
        <v>9</v>
      </c>
      <c r="D69" t="s">
        <v>10</v>
      </c>
      <c r="E69" t="s">
        <v>19</v>
      </c>
      <c r="F69" t="s">
        <v>16</v>
      </c>
      <c r="G69">
        <v>1919</v>
      </c>
      <c r="H69">
        <v>3</v>
      </c>
      <c r="I69" t="s">
        <v>13</v>
      </c>
    </row>
    <row r="70" spans="1:9">
      <c r="A70">
        <v>69</v>
      </c>
      <c r="B70">
        <v>26</v>
      </c>
      <c r="C70" t="s">
        <v>14</v>
      </c>
      <c r="D70" t="s">
        <v>23</v>
      </c>
      <c r="E70" t="s">
        <v>11</v>
      </c>
      <c r="F70" t="s">
        <v>16</v>
      </c>
      <c r="G70">
        <v>480</v>
      </c>
      <c r="H70">
        <v>6</v>
      </c>
      <c r="I70" t="s">
        <v>22</v>
      </c>
    </row>
    <row r="71" spans="1:9">
      <c r="A71">
        <v>70</v>
      </c>
      <c r="B71">
        <v>43</v>
      </c>
      <c r="C71" t="s">
        <v>9</v>
      </c>
      <c r="D71" t="s">
        <v>10</v>
      </c>
      <c r="E71" t="s">
        <v>11</v>
      </c>
      <c r="F71" t="s">
        <v>12</v>
      </c>
      <c r="G71">
        <v>3466</v>
      </c>
      <c r="H71">
        <v>3</v>
      </c>
      <c r="I71" t="s">
        <v>13</v>
      </c>
    </row>
    <row r="72" spans="1:9">
      <c r="A72">
        <v>71</v>
      </c>
      <c r="B72">
        <v>70</v>
      </c>
      <c r="C72" t="s">
        <v>14</v>
      </c>
      <c r="D72" t="s">
        <v>23</v>
      </c>
      <c r="E72" t="s">
        <v>21</v>
      </c>
      <c r="F72" t="s">
        <v>20</v>
      </c>
      <c r="G72">
        <v>2087</v>
      </c>
      <c r="H72">
        <v>5</v>
      </c>
      <c r="I72" t="s">
        <v>17</v>
      </c>
    </row>
    <row r="73" spans="1:9">
      <c r="A73">
        <v>72</v>
      </c>
      <c r="B73">
        <v>19</v>
      </c>
      <c r="C73" t="s">
        <v>9</v>
      </c>
      <c r="D73" t="s">
        <v>10</v>
      </c>
      <c r="E73" t="s">
        <v>21</v>
      </c>
      <c r="F73" t="s">
        <v>20</v>
      </c>
      <c r="G73">
        <v>3466</v>
      </c>
      <c r="H73">
        <v>8</v>
      </c>
      <c r="I73" t="s">
        <v>13</v>
      </c>
    </row>
    <row r="74" spans="1:9">
      <c r="A74">
        <v>73</v>
      </c>
      <c r="B74">
        <v>37</v>
      </c>
      <c r="C74" t="s">
        <v>9</v>
      </c>
      <c r="D74" t="s">
        <v>10</v>
      </c>
      <c r="E74" t="s">
        <v>11</v>
      </c>
      <c r="F74" t="s">
        <v>16</v>
      </c>
      <c r="G74">
        <v>866</v>
      </c>
      <c r="H74">
        <v>0</v>
      </c>
      <c r="I74" t="s">
        <v>17</v>
      </c>
    </row>
    <row r="75" spans="1:9">
      <c r="A75">
        <v>74</v>
      </c>
      <c r="B75">
        <v>45</v>
      </c>
      <c r="C75" t="s">
        <v>9</v>
      </c>
      <c r="D75" t="s">
        <v>15</v>
      </c>
      <c r="E75" t="s">
        <v>19</v>
      </c>
      <c r="F75" t="s">
        <v>12</v>
      </c>
      <c r="G75">
        <v>4388</v>
      </c>
      <c r="H75">
        <v>4</v>
      </c>
      <c r="I75" t="s">
        <v>13</v>
      </c>
    </row>
    <row r="76" spans="1:9">
      <c r="A76">
        <v>75</v>
      </c>
      <c r="B76">
        <v>64</v>
      </c>
      <c r="C76" t="s">
        <v>9</v>
      </c>
      <c r="D76" t="s">
        <v>23</v>
      </c>
      <c r="E76" t="s">
        <v>24</v>
      </c>
      <c r="F76" t="s">
        <v>20</v>
      </c>
      <c r="G76">
        <v>871</v>
      </c>
      <c r="H76">
        <v>6</v>
      </c>
      <c r="I76" t="s">
        <v>13</v>
      </c>
    </row>
    <row r="77" spans="1:9">
      <c r="A77">
        <v>76</v>
      </c>
      <c r="B77">
        <v>77</v>
      </c>
      <c r="C77" t="s">
        <v>14</v>
      </c>
      <c r="D77" t="s">
        <v>15</v>
      </c>
      <c r="E77" t="s">
        <v>11</v>
      </c>
      <c r="F77" t="s">
        <v>20</v>
      </c>
      <c r="G77">
        <v>2169</v>
      </c>
      <c r="H77">
        <v>0</v>
      </c>
      <c r="I77" t="s">
        <v>13</v>
      </c>
    </row>
    <row r="78" spans="1:9">
      <c r="A78">
        <v>77</v>
      </c>
      <c r="B78">
        <v>24</v>
      </c>
      <c r="C78" t="s">
        <v>9</v>
      </c>
      <c r="D78" t="s">
        <v>23</v>
      </c>
      <c r="E78" t="s">
        <v>19</v>
      </c>
      <c r="F78" t="s">
        <v>12</v>
      </c>
      <c r="G78">
        <v>4356</v>
      </c>
      <c r="H78">
        <v>3</v>
      </c>
      <c r="I78" t="s">
        <v>22</v>
      </c>
    </row>
    <row r="79" spans="1:9">
      <c r="A79">
        <v>78</v>
      </c>
      <c r="B79">
        <v>61</v>
      </c>
      <c r="C79" t="s">
        <v>14</v>
      </c>
      <c r="D79" t="s">
        <v>15</v>
      </c>
      <c r="E79" t="s">
        <v>21</v>
      </c>
      <c r="F79" t="s">
        <v>12</v>
      </c>
      <c r="G79">
        <v>3322</v>
      </c>
      <c r="H79">
        <v>5</v>
      </c>
      <c r="I79" t="s">
        <v>22</v>
      </c>
    </row>
    <row r="80" spans="1:9">
      <c r="A80">
        <v>79</v>
      </c>
      <c r="B80">
        <v>78</v>
      </c>
      <c r="C80" t="s">
        <v>14</v>
      </c>
      <c r="D80" t="s">
        <v>18</v>
      </c>
      <c r="E80" t="s">
        <v>21</v>
      </c>
      <c r="F80" t="s">
        <v>20</v>
      </c>
      <c r="G80">
        <v>4899</v>
      </c>
      <c r="H80">
        <v>1</v>
      </c>
      <c r="I80" t="s">
        <v>17</v>
      </c>
    </row>
    <row r="81" spans="1:9">
      <c r="A81">
        <v>80</v>
      </c>
      <c r="B81">
        <v>25</v>
      </c>
      <c r="C81" t="s">
        <v>14</v>
      </c>
      <c r="D81" t="s">
        <v>10</v>
      </c>
      <c r="E81" t="s">
        <v>19</v>
      </c>
      <c r="F81" t="s">
        <v>20</v>
      </c>
      <c r="G81">
        <v>4977</v>
      </c>
      <c r="H81">
        <v>9</v>
      </c>
      <c r="I81" t="s">
        <v>17</v>
      </c>
    </row>
    <row r="82" spans="1:9">
      <c r="A82">
        <v>81</v>
      </c>
      <c r="B82">
        <v>64</v>
      </c>
      <c r="C82" t="s">
        <v>14</v>
      </c>
      <c r="D82" t="s">
        <v>23</v>
      </c>
      <c r="E82" t="s">
        <v>24</v>
      </c>
      <c r="F82" t="s">
        <v>12</v>
      </c>
      <c r="G82">
        <v>4100</v>
      </c>
      <c r="H82">
        <v>4</v>
      </c>
      <c r="I82" t="s">
        <v>22</v>
      </c>
    </row>
    <row r="83" spans="1:9">
      <c r="A83">
        <v>82</v>
      </c>
      <c r="B83">
        <v>52</v>
      </c>
      <c r="C83" t="s">
        <v>9</v>
      </c>
      <c r="D83" t="s">
        <v>23</v>
      </c>
      <c r="E83" t="s">
        <v>21</v>
      </c>
      <c r="F83" t="s">
        <v>20</v>
      </c>
      <c r="G83">
        <v>723</v>
      </c>
      <c r="H83">
        <v>9</v>
      </c>
      <c r="I83" t="s">
        <v>17</v>
      </c>
    </row>
    <row r="84" spans="1:9">
      <c r="A84">
        <v>83</v>
      </c>
      <c r="B84">
        <v>31</v>
      </c>
      <c r="C84" t="s">
        <v>14</v>
      </c>
      <c r="D84" t="s">
        <v>10</v>
      </c>
      <c r="E84" t="s">
        <v>21</v>
      </c>
      <c r="F84" t="s">
        <v>16</v>
      </c>
      <c r="G84">
        <v>2593</v>
      </c>
      <c r="H84">
        <v>0</v>
      </c>
      <c r="I84" t="s">
        <v>22</v>
      </c>
    </row>
    <row r="85" spans="1:9">
      <c r="A85">
        <v>84</v>
      </c>
      <c r="B85">
        <v>34</v>
      </c>
      <c r="C85" t="s">
        <v>14</v>
      </c>
      <c r="D85" t="s">
        <v>23</v>
      </c>
      <c r="E85" t="s">
        <v>21</v>
      </c>
      <c r="F85" t="s">
        <v>16</v>
      </c>
      <c r="G85">
        <v>3317</v>
      </c>
      <c r="H85">
        <v>5</v>
      </c>
      <c r="I85" t="s">
        <v>13</v>
      </c>
    </row>
    <row r="86" spans="1:9">
      <c r="A86">
        <v>85</v>
      </c>
      <c r="B86">
        <v>53</v>
      </c>
      <c r="C86" t="s">
        <v>14</v>
      </c>
      <c r="D86" t="s">
        <v>23</v>
      </c>
      <c r="E86" t="s">
        <v>19</v>
      </c>
      <c r="F86" t="s">
        <v>12</v>
      </c>
      <c r="G86">
        <v>2793</v>
      </c>
      <c r="H86">
        <v>5</v>
      </c>
      <c r="I86" t="s">
        <v>17</v>
      </c>
    </row>
    <row r="87" spans="1:9">
      <c r="A87">
        <v>86</v>
      </c>
      <c r="B87">
        <v>67</v>
      </c>
      <c r="C87" t="s">
        <v>9</v>
      </c>
      <c r="D87" t="s">
        <v>15</v>
      </c>
      <c r="E87" t="s">
        <v>11</v>
      </c>
      <c r="F87" t="s">
        <v>12</v>
      </c>
      <c r="G87">
        <v>2168</v>
      </c>
      <c r="H87">
        <v>3</v>
      </c>
      <c r="I87" t="s">
        <v>17</v>
      </c>
    </row>
    <row r="88" spans="1:9">
      <c r="A88">
        <v>87</v>
      </c>
      <c r="B88">
        <v>57</v>
      </c>
      <c r="C88" t="s">
        <v>9</v>
      </c>
      <c r="D88" t="s">
        <v>23</v>
      </c>
      <c r="E88" t="s">
        <v>21</v>
      </c>
      <c r="F88" t="s">
        <v>12</v>
      </c>
      <c r="G88">
        <v>1953</v>
      </c>
      <c r="H88">
        <v>7</v>
      </c>
      <c r="I88" t="s">
        <v>22</v>
      </c>
    </row>
    <row r="89" spans="1:9">
      <c r="A89">
        <v>88</v>
      </c>
      <c r="B89">
        <v>21</v>
      </c>
      <c r="C89" t="s">
        <v>9</v>
      </c>
      <c r="D89" t="s">
        <v>18</v>
      </c>
      <c r="E89" t="s">
        <v>11</v>
      </c>
      <c r="F89" t="s">
        <v>16</v>
      </c>
      <c r="G89">
        <v>2496</v>
      </c>
      <c r="H89">
        <v>3</v>
      </c>
      <c r="I89" t="s">
        <v>17</v>
      </c>
    </row>
    <row r="90" spans="1:9">
      <c r="A90">
        <v>89</v>
      </c>
      <c r="B90">
        <v>19</v>
      </c>
      <c r="C90" t="s">
        <v>9</v>
      </c>
      <c r="D90" t="s">
        <v>18</v>
      </c>
      <c r="E90" t="s">
        <v>24</v>
      </c>
      <c r="F90" t="s">
        <v>20</v>
      </c>
      <c r="G90">
        <v>2461</v>
      </c>
      <c r="H90">
        <v>7</v>
      </c>
      <c r="I90" t="s">
        <v>17</v>
      </c>
    </row>
    <row r="91" spans="1:9">
      <c r="A91">
        <v>90</v>
      </c>
      <c r="B91">
        <v>79</v>
      </c>
      <c r="C91" t="s">
        <v>14</v>
      </c>
      <c r="D91" t="s">
        <v>10</v>
      </c>
      <c r="E91" t="s">
        <v>21</v>
      </c>
      <c r="F91" t="s">
        <v>16</v>
      </c>
      <c r="G91">
        <v>2486</v>
      </c>
      <c r="H91">
        <v>7</v>
      </c>
      <c r="I91" t="s">
        <v>13</v>
      </c>
    </row>
    <row r="92" spans="1:9">
      <c r="A92">
        <v>91</v>
      </c>
      <c r="B92">
        <v>23</v>
      </c>
      <c r="C92" t="s">
        <v>14</v>
      </c>
      <c r="D92" t="s">
        <v>23</v>
      </c>
      <c r="E92" t="s">
        <v>21</v>
      </c>
      <c r="F92" t="s">
        <v>20</v>
      </c>
      <c r="G92">
        <v>4402</v>
      </c>
      <c r="H92">
        <v>4</v>
      </c>
      <c r="I92" t="s">
        <v>17</v>
      </c>
    </row>
    <row r="93" spans="1:9">
      <c r="A93">
        <v>92</v>
      </c>
      <c r="B93">
        <v>71</v>
      </c>
      <c r="C93" t="s">
        <v>9</v>
      </c>
      <c r="D93" t="s">
        <v>10</v>
      </c>
      <c r="E93" t="s">
        <v>24</v>
      </c>
      <c r="F93" t="s">
        <v>16</v>
      </c>
      <c r="G93">
        <v>3078</v>
      </c>
      <c r="H93">
        <v>3</v>
      </c>
      <c r="I93" t="s">
        <v>13</v>
      </c>
    </row>
    <row r="94" spans="1:9">
      <c r="A94">
        <v>93</v>
      </c>
      <c r="B94">
        <v>59</v>
      </c>
      <c r="C94" t="s">
        <v>14</v>
      </c>
      <c r="D94" t="s">
        <v>18</v>
      </c>
      <c r="E94" t="s">
        <v>21</v>
      </c>
      <c r="F94" t="s">
        <v>20</v>
      </c>
      <c r="G94">
        <v>4343</v>
      </c>
      <c r="H94">
        <v>1</v>
      </c>
      <c r="I94" t="s">
        <v>22</v>
      </c>
    </row>
    <row r="95" spans="1:9">
      <c r="A95">
        <v>94</v>
      </c>
      <c r="B95">
        <v>21</v>
      </c>
      <c r="C95" t="s">
        <v>14</v>
      </c>
      <c r="D95" t="s">
        <v>23</v>
      </c>
      <c r="E95" t="s">
        <v>11</v>
      </c>
      <c r="F95" t="s">
        <v>16</v>
      </c>
      <c r="G95">
        <v>3844</v>
      </c>
      <c r="H95">
        <v>2</v>
      </c>
      <c r="I95" t="s">
        <v>17</v>
      </c>
    </row>
    <row r="96" spans="1:9">
      <c r="A96">
        <v>95</v>
      </c>
      <c r="B96">
        <v>71</v>
      </c>
      <c r="C96" t="s">
        <v>14</v>
      </c>
      <c r="D96" t="s">
        <v>23</v>
      </c>
      <c r="E96" t="s">
        <v>19</v>
      </c>
      <c r="F96" t="s">
        <v>12</v>
      </c>
      <c r="G96">
        <v>4632</v>
      </c>
      <c r="H96">
        <v>2</v>
      </c>
      <c r="I96" t="s">
        <v>13</v>
      </c>
    </row>
    <row r="97" spans="1:9">
      <c r="A97">
        <v>96</v>
      </c>
      <c r="B97">
        <v>46</v>
      </c>
      <c r="C97" t="s">
        <v>9</v>
      </c>
      <c r="D97" t="s">
        <v>10</v>
      </c>
      <c r="E97" t="s">
        <v>11</v>
      </c>
      <c r="F97" t="s">
        <v>16</v>
      </c>
      <c r="G97">
        <v>2255</v>
      </c>
      <c r="H97">
        <v>3</v>
      </c>
      <c r="I97" t="s">
        <v>22</v>
      </c>
    </row>
    <row r="98" spans="1:9">
      <c r="A98">
        <v>97</v>
      </c>
      <c r="B98">
        <v>35</v>
      </c>
      <c r="C98" t="s">
        <v>9</v>
      </c>
      <c r="D98" t="s">
        <v>18</v>
      </c>
      <c r="E98" t="s">
        <v>19</v>
      </c>
      <c r="F98" t="s">
        <v>20</v>
      </c>
      <c r="G98">
        <v>4920</v>
      </c>
      <c r="H98">
        <v>3</v>
      </c>
      <c r="I98" t="s">
        <v>17</v>
      </c>
    </row>
    <row r="99" spans="1:9">
      <c r="A99">
        <v>98</v>
      </c>
      <c r="B99">
        <v>43</v>
      </c>
      <c r="C99" t="s">
        <v>14</v>
      </c>
      <c r="D99" t="s">
        <v>23</v>
      </c>
      <c r="E99" t="s">
        <v>19</v>
      </c>
      <c r="F99" t="s">
        <v>16</v>
      </c>
      <c r="G99">
        <v>1476</v>
      </c>
      <c r="H99">
        <v>9</v>
      </c>
      <c r="I99" t="s">
        <v>22</v>
      </c>
    </row>
    <row r="100" spans="1:9">
      <c r="A100">
        <v>99</v>
      </c>
      <c r="B100">
        <v>61</v>
      </c>
      <c r="C100" t="s">
        <v>9</v>
      </c>
      <c r="D100" t="s">
        <v>10</v>
      </c>
      <c r="E100" t="s">
        <v>11</v>
      </c>
      <c r="F100" t="s">
        <v>16</v>
      </c>
      <c r="G100">
        <v>2966</v>
      </c>
      <c r="H100">
        <v>4</v>
      </c>
      <c r="I100" t="s">
        <v>17</v>
      </c>
    </row>
    <row r="101" spans="1:9">
      <c r="A101">
        <v>100</v>
      </c>
      <c r="B101">
        <v>51</v>
      </c>
      <c r="C101" t="s">
        <v>9</v>
      </c>
      <c r="D101" t="s">
        <v>18</v>
      </c>
      <c r="E101" t="s">
        <v>11</v>
      </c>
      <c r="F101" t="s">
        <v>16</v>
      </c>
      <c r="G101">
        <v>502</v>
      </c>
      <c r="H101">
        <v>3</v>
      </c>
      <c r="I101" t="s">
        <v>22</v>
      </c>
    </row>
    <row r="102" spans="1:9">
      <c r="A102">
        <v>101</v>
      </c>
      <c r="B102">
        <v>27</v>
      </c>
      <c r="C102" t="s">
        <v>9</v>
      </c>
      <c r="D102" t="s">
        <v>10</v>
      </c>
      <c r="E102" t="s">
        <v>11</v>
      </c>
      <c r="F102" t="s">
        <v>12</v>
      </c>
      <c r="G102">
        <v>838</v>
      </c>
      <c r="H102">
        <v>9</v>
      </c>
      <c r="I102" t="s">
        <v>22</v>
      </c>
    </row>
    <row r="103" spans="1:9">
      <c r="A103">
        <v>102</v>
      </c>
      <c r="B103">
        <v>79</v>
      </c>
      <c r="C103" t="s">
        <v>9</v>
      </c>
      <c r="D103" t="s">
        <v>15</v>
      </c>
      <c r="E103" t="s">
        <v>11</v>
      </c>
      <c r="F103" t="s">
        <v>16</v>
      </c>
      <c r="G103">
        <v>255</v>
      </c>
      <c r="H103">
        <v>7</v>
      </c>
      <c r="I103" t="s">
        <v>13</v>
      </c>
    </row>
    <row r="104" spans="1:9">
      <c r="A104">
        <v>103</v>
      </c>
      <c r="B104">
        <v>53</v>
      </c>
      <c r="C104" t="s">
        <v>9</v>
      </c>
      <c r="D104" t="s">
        <v>23</v>
      </c>
      <c r="E104" t="s">
        <v>24</v>
      </c>
      <c r="F104" t="s">
        <v>12</v>
      </c>
      <c r="G104">
        <v>725</v>
      </c>
      <c r="H104">
        <v>5</v>
      </c>
      <c r="I104" t="s">
        <v>22</v>
      </c>
    </row>
    <row r="105" spans="1:9">
      <c r="A105">
        <v>104</v>
      </c>
      <c r="B105">
        <v>31</v>
      </c>
      <c r="C105" t="s">
        <v>14</v>
      </c>
      <c r="D105" t="s">
        <v>15</v>
      </c>
      <c r="E105" t="s">
        <v>21</v>
      </c>
      <c r="F105" t="s">
        <v>12</v>
      </c>
      <c r="G105">
        <v>4769</v>
      </c>
      <c r="H105">
        <v>5</v>
      </c>
      <c r="I105" t="s">
        <v>17</v>
      </c>
    </row>
    <row r="106" spans="1:9">
      <c r="A106">
        <v>105</v>
      </c>
      <c r="B106">
        <v>48</v>
      </c>
      <c r="C106" t="s">
        <v>9</v>
      </c>
      <c r="D106" t="s">
        <v>18</v>
      </c>
      <c r="E106" t="s">
        <v>19</v>
      </c>
      <c r="F106" t="s">
        <v>16</v>
      </c>
      <c r="G106">
        <v>4323</v>
      </c>
      <c r="H106">
        <v>7</v>
      </c>
      <c r="I106" t="s">
        <v>17</v>
      </c>
    </row>
    <row r="107" spans="1:9">
      <c r="A107">
        <v>106</v>
      </c>
      <c r="B107">
        <v>65</v>
      </c>
      <c r="C107" t="s">
        <v>14</v>
      </c>
      <c r="D107" t="s">
        <v>15</v>
      </c>
      <c r="E107" t="s">
        <v>11</v>
      </c>
      <c r="F107" t="s">
        <v>16</v>
      </c>
      <c r="G107">
        <v>2325</v>
      </c>
      <c r="H107">
        <v>6</v>
      </c>
      <c r="I107" t="s">
        <v>13</v>
      </c>
    </row>
    <row r="108" spans="1:9">
      <c r="A108">
        <v>107</v>
      </c>
      <c r="B108">
        <v>32</v>
      </c>
      <c r="C108" t="s">
        <v>14</v>
      </c>
      <c r="D108" t="s">
        <v>15</v>
      </c>
      <c r="E108" t="s">
        <v>11</v>
      </c>
      <c r="F108" t="s">
        <v>16</v>
      </c>
      <c r="G108">
        <v>3487</v>
      </c>
      <c r="H108">
        <v>9</v>
      </c>
      <c r="I108" t="s">
        <v>17</v>
      </c>
    </row>
    <row r="109" spans="1:9">
      <c r="A109">
        <v>108</v>
      </c>
      <c r="B109">
        <v>25</v>
      </c>
      <c r="C109" t="s">
        <v>9</v>
      </c>
      <c r="D109" t="s">
        <v>18</v>
      </c>
      <c r="E109" t="s">
        <v>11</v>
      </c>
      <c r="F109" t="s">
        <v>20</v>
      </c>
      <c r="G109">
        <v>564</v>
      </c>
      <c r="H109">
        <v>9</v>
      </c>
      <c r="I109" t="s">
        <v>17</v>
      </c>
    </row>
    <row r="110" spans="1:9">
      <c r="A110">
        <v>109</v>
      </c>
      <c r="B110">
        <v>31</v>
      </c>
      <c r="C110" t="s">
        <v>14</v>
      </c>
      <c r="D110" t="s">
        <v>10</v>
      </c>
      <c r="E110" t="s">
        <v>24</v>
      </c>
      <c r="F110" t="s">
        <v>16</v>
      </c>
      <c r="G110">
        <v>4821</v>
      </c>
      <c r="H110">
        <v>7</v>
      </c>
      <c r="I110" t="s">
        <v>17</v>
      </c>
    </row>
    <row r="111" spans="1:9">
      <c r="A111">
        <v>110</v>
      </c>
      <c r="B111">
        <v>40</v>
      </c>
      <c r="C111" t="s">
        <v>14</v>
      </c>
      <c r="D111" t="s">
        <v>15</v>
      </c>
      <c r="E111" t="s">
        <v>11</v>
      </c>
      <c r="F111" t="s">
        <v>12</v>
      </c>
      <c r="G111">
        <v>1846</v>
      </c>
      <c r="H111">
        <v>1</v>
      </c>
      <c r="I111" t="s">
        <v>22</v>
      </c>
    </row>
    <row r="112" spans="1:9">
      <c r="A112">
        <v>111</v>
      </c>
      <c r="B112">
        <v>77</v>
      </c>
      <c r="C112" t="s">
        <v>14</v>
      </c>
      <c r="D112" t="s">
        <v>10</v>
      </c>
      <c r="E112" t="s">
        <v>11</v>
      </c>
      <c r="F112" t="s">
        <v>16</v>
      </c>
      <c r="G112">
        <v>1118</v>
      </c>
      <c r="H112">
        <v>8</v>
      </c>
      <c r="I112" t="s">
        <v>22</v>
      </c>
    </row>
    <row r="113" spans="1:9">
      <c r="A113">
        <v>112</v>
      </c>
      <c r="B113">
        <v>74</v>
      </c>
      <c r="C113" t="s">
        <v>9</v>
      </c>
      <c r="D113" t="s">
        <v>15</v>
      </c>
      <c r="E113" t="s">
        <v>11</v>
      </c>
      <c r="F113" t="s">
        <v>20</v>
      </c>
      <c r="G113">
        <v>2997</v>
      </c>
      <c r="H113">
        <v>0</v>
      </c>
      <c r="I113" t="s">
        <v>17</v>
      </c>
    </row>
    <row r="114" spans="1:9">
      <c r="A114">
        <v>113</v>
      </c>
      <c r="B114">
        <v>79</v>
      </c>
      <c r="C114" t="s">
        <v>9</v>
      </c>
      <c r="D114" t="s">
        <v>10</v>
      </c>
      <c r="E114" t="s">
        <v>21</v>
      </c>
      <c r="F114" t="s">
        <v>16</v>
      </c>
      <c r="G114">
        <v>1731</v>
      </c>
      <c r="H114">
        <v>7</v>
      </c>
      <c r="I114" t="s">
        <v>13</v>
      </c>
    </row>
    <row r="115" spans="1:9">
      <c r="A115">
        <v>114</v>
      </c>
      <c r="B115">
        <v>57</v>
      </c>
      <c r="C115" t="s">
        <v>14</v>
      </c>
      <c r="D115" t="s">
        <v>18</v>
      </c>
      <c r="E115" t="s">
        <v>24</v>
      </c>
      <c r="F115" t="s">
        <v>20</v>
      </c>
      <c r="G115">
        <v>3545</v>
      </c>
      <c r="H115">
        <v>3</v>
      </c>
      <c r="I115" t="s">
        <v>22</v>
      </c>
    </row>
    <row r="116" spans="1:9">
      <c r="A116">
        <v>115</v>
      </c>
      <c r="B116">
        <v>38</v>
      </c>
      <c r="C116" t="s">
        <v>9</v>
      </c>
      <c r="D116" t="s">
        <v>15</v>
      </c>
      <c r="E116" t="s">
        <v>11</v>
      </c>
      <c r="F116" t="s">
        <v>20</v>
      </c>
      <c r="G116">
        <v>2106</v>
      </c>
      <c r="H116">
        <v>3</v>
      </c>
      <c r="I116" t="s">
        <v>13</v>
      </c>
    </row>
    <row r="117" spans="1:9">
      <c r="A117">
        <v>116</v>
      </c>
      <c r="B117">
        <v>33</v>
      </c>
      <c r="C117" t="s">
        <v>9</v>
      </c>
      <c r="D117" t="s">
        <v>18</v>
      </c>
      <c r="E117" t="s">
        <v>19</v>
      </c>
      <c r="F117" t="s">
        <v>16</v>
      </c>
      <c r="G117">
        <v>3286</v>
      </c>
      <c r="H117">
        <v>4</v>
      </c>
      <c r="I117" t="s">
        <v>17</v>
      </c>
    </row>
    <row r="118" spans="1:9">
      <c r="A118">
        <v>117</v>
      </c>
      <c r="B118">
        <v>62</v>
      </c>
      <c r="C118" t="s">
        <v>9</v>
      </c>
      <c r="D118" t="s">
        <v>15</v>
      </c>
      <c r="E118" t="s">
        <v>19</v>
      </c>
      <c r="F118" t="s">
        <v>12</v>
      </c>
      <c r="G118">
        <v>4780</v>
      </c>
      <c r="H118">
        <v>7</v>
      </c>
      <c r="I118" t="s">
        <v>17</v>
      </c>
    </row>
    <row r="119" spans="1:9">
      <c r="A119">
        <v>118</v>
      </c>
      <c r="B119">
        <v>35</v>
      </c>
      <c r="C119" t="s">
        <v>9</v>
      </c>
      <c r="D119" t="s">
        <v>18</v>
      </c>
      <c r="E119" t="s">
        <v>19</v>
      </c>
      <c r="F119" t="s">
        <v>20</v>
      </c>
      <c r="G119">
        <v>2275</v>
      </c>
      <c r="H119">
        <v>4</v>
      </c>
      <c r="I119" t="s">
        <v>22</v>
      </c>
    </row>
    <row r="120" spans="1:9">
      <c r="A120">
        <v>119</v>
      </c>
      <c r="B120">
        <v>64</v>
      </c>
      <c r="C120" t="s">
        <v>14</v>
      </c>
      <c r="D120" t="s">
        <v>18</v>
      </c>
      <c r="E120" t="s">
        <v>24</v>
      </c>
      <c r="F120" t="s">
        <v>16</v>
      </c>
      <c r="G120">
        <v>913</v>
      </c>
      <c r="H120">
        <v>7</v>
      </c>
      <c r="I120" t="s">
        <v>17</v>
      </c>
    </row>
    <row r="121" spans="1:9">
      <c r="A121">
        <v>120</v>
      </c>
      <c r="B121">
        <v>70</v>
      </c>
      <c r="C121" t="s">
        <v>14</v>
      </c>
      <c r="D121" t="s">
        <v>15</v>
      </c>
      <c r="E121" t="s">
        <v>24</v>
      </c>
      <c r="F121" t="s">
        <v>16</v>
      </c>
      <c r="G121">
        <v>1262</v>
      </c>
      <c r="H121">
        <v>9</v>
      </c>
      <c r="I121" t="s">
        <v>22</v>
      </c>
    </row>
    <row r="122" spans="1:9">
      <c r="A122">
        <v>121</v>
      </c>
      <c r="B122">
        <v>41</v>
      </c>
      <c r="C122" t="s">
        <v>9</v>
      </c>
      <c r="D122" t="s">
        <v>15</v>
      </c>
      <c r="E122" t="s">
        <v>19</v>
      </c>
      <c r="F122" t="s">
        <v>12</v>
      </c>
      <c r="G122">
        <v>2176</v>
      </c>
      <c r="H122">
        <v>0</v>
      </c>
      <c r="I122" t="s">
        <v>17</v>
      </c>
    </row>
    <row r="123" spans="1:9">
      <c r="A123">
        <v>122</v>
      </c>
      <c r="B123">
        <v>43</v>
      </c>
      <c r="C123" t="s">
        <v>9</v>
      </c>
      <c r="D123" t="s">
        <v>15</v>
      </c>
      <c r="E123" t="s">
        <v>11</v>
      </c>
      <c r="F123" t="s">
        <v>20</v>
      </c>
      <c r="G123">
        <v>1496</v>
      </c>
      <c r="H123">
        <v>9</v>
      </c>
      <c r="I123" t="s">
        <v>17</v>
      </c>
    </row>
    <row r="124" spans="1:9">
      <c r="A124">
        <v>123</v>
      </c>
      <c r="B124">
        <v>42</v>
      </c>
      <c r="C124" t="s">
        <v>14</v>
      </c>
      <c r="D124" t="s">
        <v>23</v>
      </c>
      <c r="E124" t="s">
        <v>24</v>
      </c>
      <c r="F124" t="s">
        <v>20</v>
      </c>
      <c r="G124">
        <v>325</v>
      </c>
      <c r="H124">
        <v>8</v>
      </c>
      <c r="I124" t="s">
        <v>22</v>
      </c>
    </row>
    <row r="125" spans="1:9">
      <c r="A125">
        <v>124</v>
      </c>
      <c r="B125">
        <v>77</v>
      </c>
      <c r="C125" t="s">
        <v>14</v>
      </c>
      <c r="D125" t="s">
        <v>10</v>
      </c>
      <c r="E125" t="s">
        <v>19</v>
      </c>
      <c r="F125" t="s">
        <v>16</v>
      </c>
      <c r="G125">
        <v>4832</v>
      </c>
      <c r="H125">
        <v>5</v>
      </c>
      <c r="I125" t="s">
        <v>22</v>
      </c>
    </row>
    <row r="126" spans="1:9">
      <c r="A126">
        <v>125</v>
      </c>
      <c r="B126">
        <v>77</v>
      </c>
      <c r="C126" t="s">
        <v>9</v>
      </c>
      <c r="D126" t="s">
        <v>23</v>
      </c>
      <c r="E126" t="s">
        <v>19</v>
      </c>
      <c r="F126" t="s">
        <v>16</v>
      </c>
      <c r="G126">
        <v>3796</v>
      </c>
      <c r="H126">
        <v>2</v>
      </c>
      <c r="I126" t="s">
        <v>22</v>
      </c>
    </row>
    <row r="127" spans="1:9">
      <c r="A127">
        <v>126</v>
      </c>
      <c r="B127">
        <v>77</v>
      </c>
      <c r="C127" t="s">
        <v>14</v>
      </c>
      <c r="D127" t="s">
        <v>23</v>
      </c>
      <c r="E127" t="s">
        <v>11</v>
      </c>
      <c r="F127" t="s">
        <v>12</v>
      </c>
      <c r="G127">
        <v>3483</v>
      </c>
      <c r="H127">
        <v>7</v>
      </c>
      <c r="I127" t="s">
        <v>17</v>
      </c>
    </row>
    <row r="128" spans="1:9">
      <c r="A128">
        <v>127</v>
      </c>
      <c r="B128">
        <v>62</v>
      </c>
      <c r="C128" t="s">
        <v>9</v>
      </c>
      <c r="D128" t="s">
        <v>18</v>
      </c>
      <c r="E128" t="s">
        <v>21</v>
      </c>
      <c r="F128" t="s">
        <v>12</v>
      </c>
      <c r="G128">
        <v>1803</v>
      </c>
      <c r="H128">
        <v>8</v>
      </c>
      <c r="I128" t="s">
        <v>17</v>
      </c>
    </row>
    <row r="129" spans="1:9">
      <c r="A129">
        <v>128</v>
      </c>
      <c r="B129">
        <v>58</v>
      </c>
      <c r="C129" t="s">
        <v>9</v>
      </c>
      <c r="D129" t="s">
        <v>15</v>
      </c>
      <c r="E129" t="s">
        <v>24</v>
      </c>
      <c r="F129" t="s">
        <v>20</v>
      </c>
      <c r="G129">
        <v>266</v>
      </c>
      <c r="H129">
        <v>5</v>
      </c>
      <c r="I129" t="s">
        <v>13</v>
      </c>
    </row>
    <row r="130" spans="1:9">
      <c r="A130">
        <v>129</v>
      </c>
      <c r="B130">
        <v>46</v>
      </c>
      <c r="C130" t="s">
        <v>14</v>
      </c>
      <c r="D130" t="s">
        <v>10</v>
      </c>
      <c r="E130" t="s">
        <v>11</v>
      </c>
      <c r="F130" t="s">
        <v>20</v>
      </c>
      <c r="G130">
        <v>432</v>
      </c>
      <c r="H130">
        <v>6</v>
      </c>
      <c r="I130" t="s">
        <v>22</v>
      </c>
    </row>
    <row r="131" spans="1:9">
      <c r="A131">
        <v>130</v>
      </c>
      <c r="B131">
        <v>32</v>
      </c>
      <c r="C131" t="s">
        <v>14</v>
      </c>
      <c r="D131" t="s">
        <v>18</v>
      </c>
      <c r="E131" t="s">
        <v>19</v>
      </c>
      <c r="F131" t="s">
        <v>16</v>
      </c>
      <c r="G131">
        <v>2356</v>
      </c>
      <c r="H131">
        <v>0</v>
      </c>
      <c r="I131" t="s">
        <v>17</v>
      </c>
    </row>
    <row r="132" spans="1:9">
      <c r="A132">
        <v>131</v>
      </c>
      <c r="B132">
        <v>62</v>
      </c>
      <c r="C132" t="s">
        <v>9</v>
      </c>
      <c r="D132" t="s">
        <v>23</v>
      </c>
      <c r="E132" t="s">
        <v>19</v>
      </c>
      <c r="F132" t="s">
        <v>20</v>
      </c>
      <c r="G132">
        <v>1369</v>
      </c>
      <c r="H132">
        <v>4</v>
      </c>
      <c r="I132" t="s">
        <v>17</v>
      </c>
    </row>
    <row r="133" spans="1:9">
      <c r="A133">
        <v>132</v>
      </c>
      <c r="B133">
        <v>18</v>
      </c>
      <c r="C133" t="s">
        <v>9</v>
      </c>
      <c r="D133" t="s">
        <v>15</v>
      </c>
      <c r="E133" t="s">
        <v>11</v>
      </c>
      <c r="F133" t="s">
        <v>12</v>
      </c>
      <c r="G133">
        <v>2358</v>
      </c>
      <c r="H133">
        <v>4</v>
      </c>
      <c r="I133" t="s">
        <v>22</v>
      </c>
    </row>
    <row r="134" spans="1:9">
      <c r="A134">
        <v>133</v>
      </c>
      <c r="B134">
        <v>42</v>
      </c>
      <c r="C134" t="s">
        <v>14</v>
      </c>
      <c r="D134" t="s">
        <v>18</v>
      </c>
      <c r="E134" t="s">
        <v>24</v>
      </c>
      <c r="F134" t="s">
        <v>12</v>
      </c>
      <c r="G134">
        <v>4406</v>
      </c>
      <c r="H134">
        <v>9</v>
      </c>
      <c r="I134" t="s">
        <v>13</v>
      </c>
    </row>
    <row r="135" spans="1:9">
      <c r="A135">
        <v>134</v>
      </c>
      <c r="B135">
        <v>24</v>
      </c>
      <c r="C135" t="s">
        <v>9</v>
      </c>
      <c r="D135" t="s">
        <v>15</v>
      </c>
      <c r="E135" t="s">
        <v>21</v>
      </c>
      <c r="F135" t="s">
        <v>16</v>
      </c>
      <c r="G135">
        <v>1693</v>
      </c>
      <c r="H135">
        <v>3</v>
      </c>
      <c r="I135" t="s">
        <v>22</v>
      </c>
    </row>
    <row r="136" spans="1:9">
      <c r="A136">
        <v>135</v>
      </c>
      <c r="B136">
        <v>26</v>
      </c>
      <c r="C136" t="s">
        <v>14</v>
      </c>
      <c r="D136" t="s">
        <v>18</v>
      </c>
      <c r="E136" t="s">
        <v>21</v>
      </c>
      <c r="F136" t="s">
        <v>12</v>
      </c>
      <c r="G136">
        <v>4918</v>
      </c>
      <c r="H136">
        <v>5</v>
      </c>
      <c r="I136" t="s">
        <v>13</v>
      </c>
    </row>
    <row r="137" spans="1:9">
      <c r="A137">
        <v>136</v>
      </c>
      <c r="B137">
        <v>41</v>
      </c>
      <c r="C137" t="s">
        <v>9</v>
      </c>
      <c r="D137" t="s">
        <v>15</v>
      </c>
      <c r="E137" t="s">
        <v>19</v>
      </c>
      <c r="F137" t="s">
        <v>12</v>
      </c>
      <c r="G137">
        <v>4207</v>
      </c>
      <c r="H137">
        <v>6</v>
      </c>
      <c r="I137" t="s">
        <v>17</v>
      </c>
    </row>
    <row r="138" spans="1:9">
      <c r="A138">
        <v>137</v>
      </c>
      <c r="B138">
        <v>18</v>
      </c>
      <c r="C138" t="s">
        <v>14</v>
      </c>
      <c r="D138" t="s">
        <v>23</v>
      </c>
      <c r="E138" t="s">
        <v>24</v>
      </c>
      <c r="F138" t="s">
        <v>12</v>
      </c>
      <c r="G138">
        <v>2672</v>
      </c>
      <c r="H138">
        <v>8</v>
      </c>
      <c r="I138" t="s">
        <v>13</v>
      </c>
    </row>
    <row r="139" spans="1:9">
      <c r="A139">
        <v>138</v>
      </c>
      <c r="B139">
        <v>61</v>
      </c>
      <c r="C139" t="s">
        <v>14</v>
      </c>
      <c r="D139" t="s">
        <v>10</v>
      </c>
      <c r="E139" t="s">
        <v>21</v>
      </c>
      <c r="F139" t="s">
        <v>12</v>
      </c>
      <c r="G139">
        <v>2860</v>
      </c>
      <c r="H139">
        <v>0</v>
      </c>
      <c r="I139" t="s">
        <v>17</v>
      </c>
    </row>
    <row r="140" spans="1:9">
      <c r="A140">
        <v>139</v>
      </c>
      <c r="B140">
        <v>25</v>
      </c>
      <c r="C140" t="s">
        <v>14</v>
      </c>
      <c r="D140" t="s">
        <v>23</v>
      </c>
      <c r="E140" t="s">
        <v>24</v>
      </c>
      <c r="F140" t="s">
        <v>16</v>
      </c>
      <c r="G140">
        <v>2939</v>
      </c>
      <c r="H140">
        <v>5</v>
      </c>
      <c r="I140" t="s">
        <v>22</v>
      </c>
    </row>
    <row r="141" spans="1:9">
      <c r="A141">
        <v>140</v>
      </c>
      <c r="B141">
        <v>41</v>
      </c>
      <c r="C141" t="s">
        <v>9</v>
      </c>
      <c r="D141" t="s">
        <v>10</v>
      </c>
      <c r="E141" t="s">
        <v>24</v>
      </c>
      <c r="F141" t="s">
        <v>16</v>
      </c>
      <c r="G141">
        <v>1961</v>
      </c>
      <c r="H141">
        <v>6</v>
      </c>
      <c r="I141" t="s">
        <v>22</v>
      </c>
    </row>
    <row r="142" spans="1:9">
      <c r="A142">
        <v>141</v>
      </c>
      <c r="B142">
        <v>28</v>
      </c>
      <c r="C142" t="s">
        <v>9</v>
      </c>
      <c r="D142" t="s">
        <v>15</v>
      </c>
      <c r="E142" t="s">
        <v>19</v>
      </c>
      <c r="F142" t="s">
        <v>20</v>
      </c>
      <c r="G142">
        <v>3714</v>
      </c>
      <c r="H142">
        <v>2</v>
      </c>
      <c r="I142" t="s">
        <v>22</v>
      </c>
    </row>
    <row r="143" spans="1:9">
      <c r="A143">
        <v>142</v>
      </c>
      <c r="B143">
        <v>68</v>
      </c>
      <c r="C143" t="s">
        <v>14</v>
      </c>
      <c r="D143" t="s">
        <v>18</v>
      </c>
      <c r="E143" t="s">
        <v>21</v>
      </c>
      <c r="F143" t="s">
        <v>12</v>
      </c>
      <c r="G143">
        <v>2175</v>
      </c>
      <c r="H143">
        <v>7</v>
      </c>
      <c r="I143" t="s">
        <v>13</v>
      </c>
    </row>
    <row r="144" spans="1:9">
      <c r="A144">
        <v>143</v>
      </c>
      <c r="B144">
        <v>34</v>
      </c>
      <c r="C144" t="s">
        <v>9</v>
      </c>
      <c r="D144" t="s">
        <v>23</v>
      </c>
      <c r="E144" t="s">
        <v>11</v>
      </c>
      <c r="F144" t="s">
        <v>20</v>
      </c>
      <c r="G144">
        <v>2562</v>
      </c>
      <c r="H144">
        <v>4</v>
      </c>
      <c r="I144" t="s">
        <v>17</v>
      </c>
    </row>
    <row r="145" spans="1:9">
      <c r="A145">
        <v>144</v>
      </c>
      <c r="B145">
        <v>25</v>
      </c>
      <c r="C145" t="s">
        <v>14</v>
      </c>
      <c r="D145" t="s">
        <v>10</v>
      </c>
      <c r="E145" t="s">
        <v>19</v>
      </c>
      <c r="F145" t="s">
        <v>16</v>
      </c>
      <c r="G145">
        <v>1076</v>
      </c>
      <c r="H145">
        <v>8</v>
      </c>
      <c r="I145" t="s">
        <v>22</v>
      </c>
    </row>
    <row r="146" spans="1:9">
      <c r="A146">
        <v>145</v>
      </c>
      <c r="B146">
        <v>52</v>
      </c>
      <c r="C146" t="s">
        <v>14</v>
      </c>
      <c r="D146" t="s">
        <v>23</v>
      </c>
      <c r="E146" t="s">
        <v>21</v>
      </c>
      <c r="F146" t="s">
        <v>16</v>
      </c>
      <c r="G146">
        <v>4012</v>
      </c>
      <c r="H146">
        <v>4</v>
      </c>
      <c r="I146" t="s">
        <v>22</v>
      </c>
    </row>
    <row r="147" spans="1:9">
      <c r="A147">
        <v>146</v>
      </c>
      <c r="B147">
        <v>52</v>
      </c>
      <c r="C147" t="s">
        <v>9</v>
      </c>
      <c r="D147" t="s">
        <v>10</v>
      </c>
      <c r="E147" t="s">
        <v>21</v>
      </c>
      <c r="F147" t="s">
        <v>16</v>
      </c>
      <c r="G147">
        <v>3648</v>
      </c>
      <c r="H147">
        <v>8</v>
      </c>
      <c r="I147" t="s">
        <v>17</v>
      </c>
    </row>
    <row r="148" spans="1:9">
      <c r="A148">
        <v>147</v>
      </c>
      <c r="B148">
        <v>50</v>
      </c>
      <c r="C148" t="s">
        <v>9</v>
      </c>
      <c r="D148" t="s">
        <v>23</v>
      </c>
      <c r="E148" t="s">
        <v>21</v>
      </c>
      <c r="F148" t="s">
        <v>16</v>
      </c>
      <c r="G148">
        <v>1512</v>
      </c>
      <c r="H148">
        <v>9</v>
      </c>
      <c r="I148" t="s">
        <v>22</v>
      </c>
    </row>
    <row r="149" spans="1:9">
      <c r="A149">
        <v>148</v>
      </c>
      <c r="B149">
        <v>76</v>
      </c>
      <c r="C149" t="s">
        <v>14</v>
      </c>
      <c r="D149" t="s">
        <v>10</v>
      </c>
      <c r="E149" t="s">
        <v>21</v>
      </c>
      <c r="F149" t="s">
        <v>16</v>
      </c>
      <c r="G149">
        <v>1660</v>
      </c>
      <c r="H149">
        <v>3</v>
      </c>
      <c r="I149" t="s">
        <v>17</v>
      </c>
    </row>
    <row r="150" spans="1:9">
      <c r="A150">
        <v>149</v>
      </c>
      <c r="B150">
        <v>22</v>
      </c>
      <c r="C150" t="s">
        <v>9</v>
      </c>
      <c r="D150" t="s">
        <v>10</v>
      </c>
      <c r="E150" t="s">
        <v>21</v>
      </c>
      <c r="F150" t="s">
        <v>16</v>
      </c>
      <c r="G150">
        <v>2909</v>
      </c>
      <c r="H150">
        <v>8</v>
      </c>
      <c r="I150" t="s">
        <v>17</v>
      </c>
    </row>
    <row r="151" spans="1:9">
      <c r="A151">
        <v>150</v>
      </c>
      <c r="B151">
        <v>59</v>
      </c>
      <c r="C151" t="s">
        <v>9</v>
      </c>
      <c r="D151" t="s">
        <v>15</v>
      </c>
      <c r="E151" t="s">
        <v>24</v>
      </c>
      <c r="F151" t="s">
        <v>16</v>
      </c>
      <c r="G151">
        <v>2524</v>
      </c>
      <c r="H151">
        <v>4</v>
      </c>
      <c r="I151" t="s">
        <v>17</v>
      </c>
    </row>
    <row r="152" spans="1:9">
      <c r="A152">
        <v>151</v>
      </c>
      <c r="B152">
        <v>56</v>
      </c>
      <c r="C152" t="s">
        <v>14</v>
      </c>
      <c r="D152" t="s">
        <v>10</v>
      </c>
      <c r="E152" t="s">
        <v>19</v>
      </c>
      <c r="F152" t="s">
        <v>12</v>
      </c>
      <c r="G152">
        <v>1933</v>
      </c>
      <c r="H152">
        <v>9</v>
      </c>
      <c r="I152" t="s">
        <v>17</v>
      </c>
    </row>
    <row r="153" spans="1:9">
      <c r="A153">
        <v>152</v>
      </c>
      <c r="B153">
        <v>75</v>
      </c>
      <c r="C153" t="s">
        <v>14</v>
      </c>
      <c r="D153" t="s">
        <v>15</v>
      </c>
      <c r="E153" t="s">
        <v>24</v>
      </c>
      <c r="F153" t="s">
        <v>20</v>
      </c>
      <c r="G153">
        <v>1805</v>
      </c>
      <c r="H153">
        <v>8</v>
      </c>
      <c r="I153" t="s">
        <v>17</v>
      </c>
    </row>
    <row r="154" spans="1:9">
      <c r="A154">
        <v>153</v>
      </c>
      <c r="B154">
        <v>58</v>
      </c>
      <c r="C154" t="s">
        <v>9</v>
      </c>
      <c r="D154" t="s">
        <v>10</v>
      </c>
      <c r="E154" t="s">
        <v>11</v>
      </c>
      <c r="F154" t="s">
        <v>16</v>
      </c>
      <c r="G154">
        <v>2763</v>
      </c>
      <c r="H154">
        <v>2</v>
      </c>
      <c r="I154" t="s">
        <v>13</v>
      </c>
    </row>
    <row r="155" spans="1:9">
      <c r="A155">
        <v>154</v>
      </c>
      <c r="B155">
        <v>45</v>
      </c>
      <c r="C155" t="s">
        <v>14</v>
      </c>
      <c r="D155" t="s">
        <v>18</v>
      </c>
      <c r="E155" t="s">
        <v>21</v>
      </c>
      <c r="F155" t="s">
        <v>12</v>
      </c>
      <c r="G155">
        <v>3621</v>
      </c>
      <c r="H155">
        <v>3</v>
      </c>
      <c r="I155" t="s">
        <v>22</v>
      </c>
    </row>
    <row r="156" spans="1:9">
      <c r="A156">
        <v>155</v>
      </c>
      <c r="B156">
        <v>24</v>
      </c>
      <c r="C156" t="s">
        <v>14</v>
      </c>
      <c r="D156" t="s">
        <v>18</v>
      </c>
      <c r="E156" t="s">
        <v>19</v>
      </c>
      <c r="F156" t="s">
        <v>12</v>
      </c>
      <c r="G156">
        <v>3717</v>
      </c>
      <c r="H156">
        <v>8</v>
      </c>
      <c r="I156" t="s">
        <v>13</v>
      </c>
    </row>
    <row r="157" spans="1:9">
      <c r="A157">
        <v>156</v>
      </c>
      <c r="B157">
        <v>26</v>
      </c>
      <c r="C157" t="s">
        <v>9</v>
      </c>
      <c r="D157" t="s">
        <v>18</v>
      </c>
      <c r="E157" t="s">
        <v>21</v>
      </c>
      <c r="F157" t="s">
        <v>20</v>
      </c>
      <c r="G157">
        <v>2597</v>
      </c>
      <c r="H157">
        <v>9</v>
      </c>
      <c r="I157" t="s">
        <v>22</v>
      </c>
    </row>
    <row r="158" spans="1:9">
      <c r="A158">
        <v>157</v>
      </c>
      <c r="B158">
        <v>25</v>
      </c>
      <c r="C158" t="s">
        <v>14</v>
      </c>
      <c r="D158" t="s">
        <v>10</v>
      </c>
      <c r="E158" t="s">
        <v>19</v>
      </c>
      <c r="F158" t="s">
        <v>16</v>
      </c>
      <c r="G158">
        <v>3935</v>
      </c>
      <c r="H158">
        <v>5</v>
      </c>
      <c r="I158" t="s">
        <v>13</v>
      </c>
    </row>
    <row r="159" spans="1:9">
      <c r="A159">
        <v>158</v>
      </c>
      <c r="B159">
        <v>29</v>
      </c>
      <c r="C159" t="s">
        <v>14</v>
      </c>
      <c r="D159" t="s">
        <v>15</v>
      </c>
      <c r="E159" t="s">
        <v>24</v>
      </c>
      <c r="F159" t="s">
        <v>20</v>
      </c>
      <c r="G159">
        <v>3070</v>
      </c>
      <c r="H159">
        <v>1</v>
      </c>
      <c r="I159" t="s">
        <v>17</v>
      </c>
    </row>
    <row r="160" spans="1:9">
      <c r="A160">
        <v>159</v>
      </c>
      <c r="B160">
        <v>51</v>
      </c>
      <c r="C160" t="s">
        <v>9</v>
      </c>
      <c r="D160" t="s">
        <v>15</v>
      </c>
      <c r="E160" t="s">
        <v>19</v>
      </c>
      <c r="F160" t="s">
        <v>16</v>
      </c>
      <c r="G160">
        <v>1360</v>
      </c>
      <c r="H160">
        <v>6</v>
      </c>
      <c r="I160" t="s">
        <v>22</v>
      </c>
    </row>
    <row r="161" spans="1:9">
      <c r="A161">
        <v>160</v>
      </c>
      <c r="B161">
        <v>50</v>
      </c>
      <c r="C161" t="s">
        <v>9</v>
      </c>
      <c r="D161" t="s">
        <v>10</v>
      </c>
      <c r="E161" t="s">
        <v>11</v>
      </c>
      <c r="F161" t="s">
        <v>12</v>
      </c>
      <c r="G161">
        <v>442</v>
      </c>
      <c r="H161">
        <v>1</v>
      </c>
      <c r="I161" t="s">
        <v>22</v>
      </c>
    </row>
    <row r="162" spans="1:9">
      <c r="A162">
        <v>161</v>
      </c>
      <c r="B162">
        <v>65</v>
      </c>
      <c r="C162" t="s">
        <v>14</v>
      </c>
      <c r="D162" t="s">
        <v>18</v>
      </c>
      <c r="E162" t="s">
        <v>11</v>
      </c>
      <c r="F162" t="s">
        <v>12</v>
      </c>
      <c r="G162">
        <v>2790</v>
      </c>
      <c r="H162">
        <v>1</v>
      </c>
      <c r="I162" t="s">
        <v>13</v>
      </c>
    </row>
    <row r="163" spans="1:9">
      <c r="A163">
        <v>162</v>
      </c>
      <c r="B163">
        <v>72</v>
      </c>
      <c r="C163" t="s">
        <v>14</v>
      </c>
      <c r="D163" t="s">
        <v>18</v>
      </c>
      <c r="E163" t="s">
        <v>19</v>
      </c>
      <c r="F163" t="s">
        <v>12</v>
      </c>
      <c r="G163">
        <v>1263</v>
      </c>
      <c r="H163">
        <v>0</v>
      </c>
      <c r="I163" t="s">
        <v>13</v>
      </c>
    </row>
    <row r="164" spans="1:9">
      <c r="A164">
        <v>163</v>
      </c>
      <c r="B164">
        <v>40</v>
      </c>
      <c r="C164" t="s">
        <v>9</v>
      </c>
      <c r="D164" t="s">
        <v>15</v>
      </c>
      <c r="E164" t="s">
        <v>19</v>
      </c>
      <c r="F164" t="s">
        <v>12</v>
      </c>
      <c r="G164">
        <v>4524</v>
      </c>
      <c r="H164">
        <v>2</v>
      </c>
      <c r="I164" t="s">
        <v>22</v>
      </c>
    </row>
    <row r="165" spans="1:9">
      <c r="A165">
        <v>164</v>
      </c>
      <c r="B165">
        <v>79</v>
      </c>
      <c r="C165" t="s">
        <v>9</v>
      </c>
      <c r="D165" t="s">
        <v>18</v>
      </c>
      <c r="E165" t="s">
        <v>19</v>
      </c>
      <c r="F165" t="s">
        <v>20</v>
      </c>
      <c r="G165">
        <v>2795</v>
      </c>
      <c r="H165">
        <v>5</v>
      </c>
      <c r="I165" t="s">
        <v>13</v>
      </c>
    </row>
    <row r="166" spans="1:9">
      <c r="A166">
        <v>165</v>
      </c>
      <c r="B166">
        <v>41</v>
      </c>
      <c r="C166" t="s">
        <v>9</v>
      </c>
      <c r="D166" t="s">
        <v>23</v>
      </c>
      <c r="E166" t="s">
        <v>19</v>
      </c>
      <c r="F166" t="s">
        <v>16</v>
      </c>
      <c r="G166">
        <v>1119</v>
      </c>
      <c r="H166">
        <v>7</v>
      </c>
      <c r="I166" t="s">
        <v>13</v>
      </c>
    </row>
    <row r="167" spans="1:9">
      <c r="A167">
        <v>166</v>
      </c>
      <c r="B167">
        <v>54</v>
      </c>
      <c r="C167" t="s">
        <v>9</v>
      </c>
      <c r="D167" t="s">
        <v>15</v>
      </c>
      <c r="E167" t="s">
        <v>11</v>
      </c>
      <c r="F167" t="s">
        <v>16</v>
      </c>
      <c r="G167">
        <v>205</v>
      </c>
      <c r="H167">
        <v>8</v>
      </c>
      <c r="I167" t="s">
        <v>13</v>
      </c>
    </row>
    <row r="168" spans="1:9">
      <c r="A168">
        <v>167</v>
      </c>
      <c r="B168">
        <v>52</v>
      </c>
      <c r="C168" t="s">
        <v>14</v>
      </c>
      <c r="D168" t="s">
        <v>18</v>
      </c>
      <c r="E168" t="s">
        <v>21</v>
      </c>
      <c r="F168" t="s">
        <v>20</v>
      </c>
      <c r="G168">
        <v>667</v>
      </c>
      <c r="H168">
        <v>6</v>
      </c>
      <c r="I168" t="s">
        <v>17</v>
      </c>
    </row>
    <row r="169" spans="1:9">
      <c r="A169">
        <v>168</v>
      </c>
      <c r="B169">
        <v>61</v>
      </c>
      <c r="C169" t="s">
        <v>9</v>
      </c>
      <c r="D169" t="s">
        <v>15</v>
      </c>
      <c r="E169" t="s">
        <v>19</v>
      </c>
      <c r="F169" t="s">
        <v>16</v>
      </c>
      <c r="G169">
        <v>4370</v>
      </c>
      <c r="H169">
        <v>3</v>
      </c>
      <c r="I169" t="s">
        <v>17</v>
      </c>
    </row>
    <row r="170" spans="1:9">
      <c r="A170">
        <v>169</v>
      </c>
      <c r="B170">
        <v>57</v>
      </c>
      <c r="C170" t="s">
        <v>9</v>
      </c>
      <c r="D170" t="s">
        <v>23</v>
      </c>
      <c r="E170" t="s">
        <v>19</v>
      </c>
      <c r="F170" t="s">
        <v>12</v>
      </c>
      <c r="G170">
        <v>203</v>
      </c>
      <c r="H170">
        <v>5</v>
      </c>
      <c r="I170" t="s">
        <v>13</v>
      </c>
    </row>
    <row r="171" spans="1:9">
      <c r="A171">
        <v>170</v>
      </c>
      <c r="B171">
        <v>39</v>
      </c>
      <c r="C171" t="s">
        <v>14</v>
      </c>
      <c r="D171" t="s">
        <v>15</v>
      </c>
      <c r="E171" t="s">
        <v>11</v>
      </c>
      <c r="F171" t="s">
        <v>16</v>
      </c>
      <c r="G171">
        <v>845</v>
      </c>
      <c r="H171">
        <v>4</v>
      </c>
      <c r="I171" t="s">
        <v>13</v>
      </c>
    </row>
    <row r="172" spans="1:9">
      <c r="A172">
        <v>171</v>
      </c>
      <c r="B172">
        <v>44</v>
      </c>
      <c r="C172" t="s">
        <v>9</v>
      </c>
      <c r="D172" t="s">
        <v>15</v>
      </c>
      <c r="E172" t="s">
        <v>11</v>
      </c>
      <c r="F172" t="s">
        <v>12</v>
      </c>
      <c r="G172">
        <v>317</v>
      </c>
      <c r="H172">
        <v>7</v>
      </c>
      <c r="I172" t="s">
        <v>17</v>
      </c>
    </row>
    <row r="173" spans="1:9">
      <c r="A173">
        <v>172</v>
      </c>
      <c r="B173">
        <v>52</v>
      </c>
      <c r="C173" t="s">
        <v>14</v>
      </c>
      <c r="D173" t="s">
        <v>15</v>
      </c>
      <c r="E173" t="s">
        <v>24</v>
      </c>
      <c r="F173" t="s">
        <v>20</v>
      </c>
      <c r="G173">
        <v>3128</v>
      </c>
      <c r="H173">
        <v>0</v>
      </c>
      <c r="I173" t="s">
        <v>17</v>
      </c>
    </row>
    <row r="174" spans="1:9">
      <c r="A174">
        <v>173</v>
      </c>
      <c r="B174">
        <v>18</v>
      </c>
      <c r="C174" t="s">
        <v>9</v>
      </c>
      <c r="D174" t="s">
        <v>15</v>
      </c>
      <c r="E174" t="s">
        <v>19</v>
      </c>
      <c r="F174" t="s">
        <v>16</v>
      </c>
      <c r="G174">
        <v>2751</v>
      </c>
      <c r="H174">
        <v>0</v>
      </c>
      <c r="I174" t="s">
        <v>22</v>
      </c>
    </row>
    <row r="175" spans="1:9">
      <c r="A175">
        <v>174</v>
      </c>
      <c r="B175">
        <v>52</v>
      </c>
      <c r="C175" t="s">
        <v>9</v>
      </c>
      <c r="D175" t="s">
        <v>23</v>
      </c>
      <c r="E175" t="s">
        <v>24</v>
      </c>
      <c r="F175" t="s">
        <v>20</v>
      </c>
      <c r="G175">
        <v>4489</v>
      </c>
      <c r="H175">
        <v>5</v>
      </c>
      <c r="I175" t="s">
        <v>22</v>
      </c>
    </row>
    <row r="176" spans="1:9">
      <c r="A176">
        <v>175</v>
      </c>
      <c r="B176">
        <v>54</v>
      </c>
      <c r="C176" t="s">
        <v>9</v>
      </c>
      <c r="D176" t="s">
        <v>10</v>
      </c>
      <c r="E176" t="s">
        <v>11</v>
      </c>
      <c r="F176" t="s">
        <v>16</v>
      </c>
      <c r="G176">
        <v>1046</v>
      </c>
      <c r="H176">
        <v>9</v>
      </c>
      <c r="I176" t="s">
        <v>17</v>
      </c>
    </row>
    <row r="177" spans="1:9">
      <c r="A177">
        <v>176</v>
      </c>
      <c r="B177">
        <v>64</v>
      </c>
      <c r="C177" t="s">
        <v>14</v>
      </c>
      <c r="D177" t="s">
        <v>15</v>
      </c>
      <c r="E177" t="s">
        <v>11</v>
      </c>
      <c r="F177" t="s">
        <v>12</v>
      </c>
      <c r="G177">
        <v>2962</v>
      </c>
      <c r="H177">
        <v>1</v>
      </c>
      <c r="I177" t="s">
        <v>13</v>
      </c>
    </row>
    <row r="178" spans="1:9">
      <c r="A178">
        <v>177</v>
      </c>
      <c r="B178">
        <v>31</v>
      </c>
      <c r="C178" t="s">
        <v>14</v>
      </c>
      <c r="D178" t="s">
        <v>15</v>
      </c>
      <c r="E178" t="s">
        <v>21</v>
      </c>
      <c r="F178" t="s">
        <v>20</v>
      </c>
      <c r="G178">
        <v>1341</v>
      </c>
      <c r="H178">
        <v>4</v>
      </c>
      <c r="I178" t="s">
        <v>13</v>
      </c>
    </row>
    <row r="179" spans="1:9">
      <c r="A179">
        <v>178</v>
      </c>
      <c r="B179">
        <v>20</v>
      </c>
      <c r="C179" t="s">
        <v>9</v>
      </c>
      <c r="D179" t="s">
        <v>18</v>
      </c>
      <c r="E179" t="s">
        <v>19</v>
      </c>
      <c r="F179" t="s">
        <v>16</v>
      </c>
      <c r="G179">
        <v>2010</v>
      </c>
      <c r="H179">
        <v>0</v>
      </c>
      <c r="I179" t="s">
        <v>13</v>
      </c>
    </row>
    <row r="180" spans="1:9">
      <c r="A180">
        <v>179</v>
      </c>
      <c r="B180">
        <v>18</v>
      </c>
      <c r="C180" t="s">
        <v>14</v>
      </c>
      <c r="D180" t="s">
        <v>15</v>
      </c>
      <c r="E180" t="s">
        <v>24</v>
      </c>
      <c r="F180" t="s">
        <v>12</v>
      </c>
      <c r="G180">
        <v>923</v>
      </c>
      <c r="H180">
        <v>6</v>
      </c>
      <c r="I180" t="s">
        <v>13</v>
      </c>
    </row>
    <row r="181" spans="1:9">
      <c r="A181">
        <v>180</v>
      </c>
      <c r="B181">
        <v>22</v>
      </c>
      <c r="C181" t="s">
        <v>14</v>
      </c>
      <c r="D181" t="s">
        <v>18</v>
      </c>
      <c r="E181" t="s">
        <v>11</v>
      </c>
      <c r="F181" t="s">
        <v>20</v>
      </c>
      <c r="G181">
        <v>424</v>
      </c>
      <c r="H181">
        <v>0</v>
      </c>
      <c r="I181" t="s">
        <v>22</v>
      </c>
    </row>
    <row r="182" spans="1:9">
      <c r="A182">
        <v>181</v>
      </c>
      <c r="B182">
        <v>43</v>
      </c>
      <c r="C182" t="s">
        <v>14</v>
      </c>
      <c r="D182" t="s">
        <v>10</v>
      </c>
      <c r="E182" t="s">
        <v>11</v>
      </c>
      <c r="F182" t="s">
        <v>20</v>
      </c>
      <c r="G182">
        <v>4827</v>
      </c>
      <c r="H182">
        <v>3</v>
      </c>
      <c r="I182" t="s">
        <v>17</v>
      </c>
    </row>
    <row r="183" spans="1:9">
      <c r="A183">
        <v>182</v>
      </c>
      <c r="B183">
        <v>72</v>
      </c>
      <c r="C183" t="s">
        <v>14</v>
      </c>
      <c r="D183" t="s">
        <v>23</v>
      </c>
      <c r="E183" t="s">
        <v>24</v>
      </c>
      <c r="F183" t="s">
        <v>16</v>
      </c>
      <c r="G183">
        <v>4408</v>
      </c>
      <c r="H183">
        <v>8</v>
      </c>
      <c r="I183" t="s">
        <v>13</v>
      </c>
    </row>
    <row r="184" spans="1:9">
      <c r="A184">
        <v>183</v>
      </c>
      <c r="B184">
        <v>31</v>
      </c>
      <c r="C184" t="s">
        <v>14</v>
      </c>
      <c r="D184" t="s">
        <v>23</v>
      </c>
      <c r="E184" t="s">
        <v>21</v>
      </c>
      <c r="F184" t="s">
        <v>16</v>
      </c>
      <c r="G184">
        <v>4854</v>
      </c>
      <c r="H184">
        <v>0</v>
      </c>
      <c r="I184" t="s">
        <v>22</v>
      </c>
    </row>
    <row r="185" spans="1:9">
      <c r="A185">
        <v>184</v>
      </c>
      <c r="B185">
        <v>56</v>
      </c>
      <c r="C185" t="s">
        <v>14</v>
      </c>
      <c r="D185" t="s">
        <v>10</v>
      </c>
      <c r="E185" t="s">
        <v>11</v>
      </c>
      <c r="F185" t="s">
        <v>16</v>
      </c>
      <c r="G185">
        <v>2248</v>
      </c>
      <c r="H185">
        <v>3</v>
      </c>
      <c r="I185" t="s">
        <v>13</v>
      </c>
    </row>
    <row r="186" spans="1:9">
      <c r="A186">
        <v>185</v>
      </c>
      <c r="B186">
        <v>44</v>
      </c>
      <c r="C186" t="s">
        <v>9</v>
      </c>
      <c r="D186" t="s">
        <v>23</v>
      </c>
      <c r="E186" t="s">
        <v>19</v>
      </c>
      <c r="F186" t="s">
        <v>12</v>
      </c>
      <c r="G186">
        <v>4949</v>
      </c>
      <c r="H186">
        <v>5</v>
      </c>
      <c r="I186" t="s">
        <v>17</v>
      </c>
    </row>
    <row r="187" spans="1:9">
      <c r="A187">
        <v>186</v>
      </c>
      <c r="B187">
        <v>26</v>
      </c>
      <c r="C187" t="s">
        <v>9</v>
      </c>
      <c r="D187" t="s">
        <v>10</v>
      </c>
      <c r="E187" t="s">
        <v>11</v>
      </c>
      <c r="F187" t="s">
        <v>16</v>
      </c>
      <c r="G187">
        <v>4615</v>
      </c>
      <c r="H187">
        <v>5</v>
      </c>
      <c r="I187" t="s">
        <v>22</v>
      </c>
    </row>
    <row r="188" spans="1:9">
      <c r="A188">
        <v>187</v>
      </c>
      <c r="B188">
        <v>32</v>
      </c>
      <c r="C188" t="s">
        <v>14</v>
      </c>
      <c r="D188" t="s">
        <v>10</v>
      </c>
      <c r="E188" t="s">
        <v>19</v>
      </c>
      <c r="F188" t="s">
        <v>20</v>
      </c>
      <c r="G188">
        <v>1773</v>
      </c>
      <c r="H188">
        <v>7</v>
      </c>
      <c r="I188" t="s">
        <v>17</v>
      </c>
    </row>
    <row r="189" spans="1:9">
      <c r="A189">
        <v>188</v>
      </c>
      <c r="B189">
        <v>32</v>
      </c>
      <c r="C189" t="s">
        <v>9</v>
      </c>
      <c r="D189" t="s">
        <v>10</v>
      </c>
      <c r="E189" t="s">
        <v>24</v>
      </c>
      <c r="F189" t="s">
        <v>20</v>
      </c>
      <c r="G189">
        <v>2028</v>
      </c>
      <c r="H189">
        <v>0</v>
      </c>
      <c r="I189" t="s">
        <v>17</v>
      </c>
    </row>
    <row r="190" spans="1:9">
      <c r="A190">
        <v>189</v>
      </c>
      <c r="B190">
        <v>43</v>
      </c>
      <c r="C190" t="s">
        <v>9</v>
      </c>
      <c r="D190" t="s">
        <v>23</v>
      </c>
      <c r="E190" t="s">
        <v>19</v>
      </c>
      <c r="F190" t="s">
        <v>16</v>
      </c>
      <c r="G190">
        <v>2117</v>
      </c>
      <c r="H190">
        <v>6</v>
      </c>
      <c r="I190" t="s">
        <v>22</v>
      </c>
    </row>
    <row r="191" spans="1:9">
      <c r="A191">
        <v>190</v>
      </c>
      <c r="B191">
        <v>59</v>
      </c>
      <c r="C191" t="s">
        <v>9</v>
      </c>
      <c r="D191" t="s">
        <v>18</v>
      </c>
      <c r="E191" t="s">
        <v>24</v>
      </c>
      <c r="F191" t="s">
        <v>16</v>
      </c>
      <c r="G191">
        <v>4434</v>
      </c>
      <c r="H191">
        <v>0</v>
      </c>
      <c r="I191" t="s">
        <v>22</v>
      </c>
    </row>
    <row r="192" spans="1:9">
      <c r="A192">
        <v>191</v>
      </c>
      <c r="B192">
        <v>77</v>
      </c>
      <c r="C192" t="s">
        <v>9</v>
      </c>
      <c r="D192" t="s">
        <v>10</v>
      </c>
      <c r="E192" t="s">
        <v>19</v>
      </c>
      <c r="F192" t="s">
        <v>20</v>
      </c>
      <c r="G192">
        <v>2226</v>
      </c>
      <c r="H192">
        <v>6</v>
      </c>
      <c r="I192" t="s">
        <v>22</v>
      </c>
    </row>
    <row r="193" spans="1:9">
      <c r="A193">
        <v>192</v>
      </c>
      <c r="B193">
        <v>30</v>
      </c>
      <c r="C193" t="s">
        <v>14</v>
      </c>
      <c r="D193" t="s">
        <v>15</v>
      </c>
      <c r="E193" t="s">
        <v>24</v>
      </c>
      <c r="F193" t="s">
        <v>12</v>
      </c>
      <c r="G193">
        <v>3944</v>
      </c>
      <c r="H193">
        <v>2</v>
      </c>
      <c r="I193" t="s">
        <v>22</v>
      </c>
    </row>
    <row r="194" spans="1:9">
      <c r="A194">
        <v>193</v>
      </c>
      <c r="B194">
        <v>68</v>
      </c>
      <c r="C194" t="s">
        <v>9</v>
      </c>
      <c r="D194" t="s">
        <v>23</v>
      </c>
      <c r="E194" t="s">
        <v>19</v>
      </c>
      <c r="F194" t="s">
        <v>16</v>
      </c>
      <c r="G194">
        <v>1101</v>
      </c>
      <c r="H194">
        <v>7</v>
      </c>
      <c r="I194" t="s">
        <v>22</v>
      </c>
    </row>
    <row r="195" spans="1:9">
      <c r="A195">
        <v>194</v>
      </c>
      <c r="B195">
        <v>49</v>
      </c>
      <c r="C195" t="s">
        <v>9</v>
      </c>
      <c r="D195" t="s">
        <v>10</v>
      </c>
      <c r="E195" t="s">
        <v>21</v>
      </c>
      <c r="F195" t="s">
        <v>16</v>
      </c>
      <c r="G195">
        <v>4985</v>
      </c>
      <c r="H195">
        <v>2</v>
      </c>
      <c r="I195" t="s">
        <v>22</v>
      </c>
    </row>
    <row r="196" spans="1:9">
      <c r="A196">
        <v>195</v>
      </c>
      <c r="B196">
        <v>56</v>
      </c>
      <c r="C196" t="s">
        <v>14</v>
      </c>
      <c r="D196" t="s">
        <v>10</v>
      </c>
      <c r="E196" t="s">
        <v>19</v>
      </c>
      <c r="F196" t="s">
        <v>20</v>
      </c>
      <c r="G196">
        <v>2239</v>
      </c>
      <c r="H196">
        <v>0</v>
      </c>
      <c r="I196" t="s">
        <v>22</v>
      </c>
    </row>
    <row r="197" spans="1:9">
      <c r="A197">
        <v>196</v>
      </c>
      <c r="B197">
        <v>66</v>
      </c>
      <c r="C197" t="s">
        <v>14</v>
      </c>
      <c r="D197" t="s">
        <v>15</v>
      </c>
      <c r="E197" t="s">
        <v>19</v>
      </c>
      <c r="F197" t="s">
        <v>16</v>
      </c>
      <c r="G197">
        <v>209</v>
      </c>
      <c r="H197">
        <v>7</v>
      </c>
      <c r="I197" t="s">
        <v>13</v>
      </c>
    </row>
    <row r="198" spans="1:9">
      <c r="A198">
        <v>197</v>
      </c>
      <c r="B198">
        <v>69</v>
      </c>
      <c r="C198" t="s">
        <v>9</v>
      </c>
      <c r="D198" t="s">
        <v>18</v>
      </c>
      <c r="E198" t="s">
        <v>21</v>
      </c>
      <c r="F198" t="s">
        <v>12</v>
      </c>
      <c r="G198">
        <v>460</v>
      </c>
      <c r="H198">
        <v>2</v>
      </c>
      <c r="I198" t="s">
        <v>17</v>
      </c>
    </row>
    <row r="199" spans="1:9">
      <c r="A199">
        <v>198</v>
      </c>
      <c r="B199">
        <v>78</v>
      </c>
      <c r="C199" t="s">
        <v>9</v>
      </c>
      <c r="D199" t="s">
        <v>18</v>
      </c>
      <c r="E199" t="s">
        <v>11</v>
      </c>
      <c r="F199" t="s">
        <v>20</v>
      </c>
      <c r="G199">
        <v>1873</v>
      </c>
      <c r="H199">
        <v>1</v>
      </c>
      <c r="I199" t="s">
        <v>22</v>
      </c>
    </row>
    <row r="200" spans="1:9">
      <c r="A200">
        <v>199</v>
      </c>
      <c r="B200">
        <v>49</v>
      </c>
      <c r="C200" t="s">
        <v>9</v>
      </c>
      <c r="D200" t="s">
        <v>18</v>
      </c>
      <c r="E200" t="s">
        <v>11</v>
      </c>
      <c r="F200" t="s">
        <v>16</v>
      </c>
      <c r="G200">
        <v>2419</v>
      </c>
      <c r="H200">
        <v>0</v>
      </c>
      <c r="I200" t="s">
        <v>13</v>
      </c>
    </row>
    <row r="201" spans="1:9">
      <c r="A201">
        <v>200</v>
      </c>
      <c r="B201">
        <v>21</v>
      </c>
      <c r="C201" t="s">
        <v>9</v>
      </c>
      <c r="D201" t="s">
        <v>10</v>
      </c>
      <c r="E201" t="s">
        <v>19</v>
      </c>
      <c r="F201" t="s">
        <v>20</v>
      </c>
      <c r="G201">
        <v>2260</v>
      </c>
      <c r="H201">
        <v>2</v>
      </c>
      <c r="I20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35D48-0920-468E-B9C0-3247665DA49D}">
  <dimension ref="A1:M201"/>
  <sheetViews>
    <sheetView topLeftCell="P1" workbookViewId="0">
      <selection activeCell="E14" sqref="A1:I201"/>
    </sheetView>
  </sheetViews>
  <sheetFormatPr defaultRowHeight="15"/>
  <cols>
    <col min="1" max="1" width="9.85546875" bestFit="1" customWidth="1"/>
    <col min="2" max="2" width="4.140625" bestFit="1" customWidth="1"/>
    <col min="3" max="3" width="7.42578125" bestFit="1" customWidth="1"/>
    <col min="4" max="4" width="14.28515625" bestFit="1" customWidth="1"/>
    <col min="5" max="5" width="12.5703125" bestFit="1" customWidth="1"/>
    <col min="6" max="6" width="15.85546875" bestFit="1" customWidth="1"/>
    <col min="7" max="7" width="14.7109375" bestFit="1" customWidth="1"/>
    <col min="8" max="8" width="19.140625" bestFit="1" customWidth="1"/>
    <col min="9" max="9" width="10" bestFit="1" customWidth="1"/>
    <col min="12" max="12" width="15.5703125" bestFit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L1" s="2" t="s">
        <v>6</v>
      </c>
    </row>
    <row r="2" spans="1:13">
      <c r="A2">
        <v>1</v>
      </c>
      <c r="B2">
        <v>56</v>
      </c>
      <c r="C2" t="s">
        <v>9</v>
      </c>
      <c r="D2" t="s">
        <v>10</v>
      </c>
      <c r="E2" t="s">
        <v>11</v>
      </c>
      <c r="F2" t="s">
        <v>12</v>
      </c>
      <c r="G2" s="1">
        <v>3836</v>
      </c>
      <c r="H2">
        <v>7</v>
      </c>
      <c r="I2" t="s">
        <v>13</v>
      </c>
      <c r="L2" t="s">
        <v>25</v>
      </c>
      <c r="M2" s="1">
        <f>MIN(G2:G201)</f>
        <v>203</v>
      </c>
    </row>
    <row r="3" spans="1:13">
      <c r="A3">
        <v>2</v>
      </c>
      <c r="B3">
        <v>69</v>
      </c>
      <c r="C3" t="s">
        <v>14</v>
      </c>
      <c r="D3" t="s">
        <v>15</v>
      </c>
      <c r="E3" t="s">
        <v>11</v>
      </c>
      <c r="F3" t="s">
        <v>16</v>
      </c>
      <c r="G3" s="1">
        <v>2924</v>
      </c>
      <c r="H3">
        <v>1</v>
      </c>
      <c r="I3" t="s">
        <v>17</v>
      </c>
      <c r="L3" t="s">
        <v>26</v>
      </c>
      <c r="M3" s="1">
        <f>MAX(G2:G201)</f>
        <v>4985</v>
      </c>
    </row>
    <row r="4" spans="1:13">
      <c r="A4">
        <v>3</v>
      </c>
      <c r="B4">
        <v>46</v>
      </c>
      <c r="C4" t="s">
        <v>14</v>
      </c>
      <c r="D4" t="s">
        <v>18</v>
      </c>
      <c r="E4" t="s">
        <v>19</v>
      </c>
      <c r="F4" t="s">
        <v>20</v>
      </c>
      <c r="G4" s="1">
        <v>4378</v>
      </c>
      <c r="H4">
        <v>3</v>
      </c>
      <c r="I4" t="s">
        <v>17</v>
      </c>
      <c r="L4" t="s">
        <v>27</v>
      </c>
      <c r="M4" s="1">
        <f>AVERAGE(G2:G201)</f>
        <v>2707.89</v>
      </c>
    </row>
    <row r="5" spans="1:13">
      <c r="A5">
        <v>4</v>
      </c>
      <c r="B5">
        <v>32</v>
      </c>
      <c r="C5" t="s">
        <v>14</v>
      </c>
      <c r="D5" t="s">
        <v>10</v>
      </c>
      <c r="E5" t="s">
        <v>21</v>
      </c>
      <c r="F5" t="s">
        <v>20</v>
      </c>
      <c r="G5" s="1">
        <v>2248</v>
      </c>
      <c r="H5">
        <v>0</v>
      </c>
      <c r="I5" t="s">
        <v>17</v>
      </c>
    </row>
    <row r="6" spans="1:13">
      <c r="A6">
        <v>5</v>
      </c>
      <c r="B6">
        <v>60</v>
      </c>
      <c r="C6" t="s">
        <v>14</v>
      </c>
      <c r="D6" t="s">
        <v>15</v>
      </c>
      <c r="E6" t="s">
        <v>11</v>
      </c>
      <c r="F6" t="s">
        <v>16</v>
      </c>
      <c r="G6" s="1">
        <v>4346</v>
      </c>
      <c r="H6">
        <v>4</v>
      </c>
      <c r="I6" t="s">
        <v>22</v>
      </c>
    </row>
    <row r="7" spans="1:13">
      <c r="A7">
        <v>6</v>
      </c>
      <c r="B7">
        <v>25</v>
      </c>
      <c r="C7" t="s">
        <v>14</v>
      </c>
      <c r="D7" t="s">
        <v>23</v>
      </c>
      <c r="E7" t="s">
        <v>21</v>
      </c>
      <c r="F7" t="s">
        <v>16</v>
      </c>
      <c r="G7" s="1">
        <v>4980</v>
      </c>
      <c r="H7">
        <v>8</v>
      </c>
      <c r="I7" t="s">
        <v>17</v>
      </c>
    </row>
    <row r="8" spans="1:13">
      <c r="A8">
        <v>7</v>
      </c>
      <c r="B8">
        <v>78</v>
      </c>
      <c r="C8" t="s">
        <v>14</v>
      </c>
      <c r="D8" t="s">
        <v>18</v>
      </c>
      <c r="E8" t="s">
        <v>21</v>
      </c>
      <c r="F8" t="s">
        <v>16</v>
      </c>
      <c r="G8" s="1">
        <v>916</v>
      </c>
      <c r="H8">
        <v>0</v>
      </c>
      <c r="I8" t="s">
        <v>17</v>
      </c>
    </row>
    <row r="9" spans="1:13">
      <c r="A9">
        <v>8</v>
      </c>
      <c r="B9">
        <v>38</v>
      </c>
      <c r="C9" t="s">
        <v>14</v>
      </c>
      <c r="D9" t="s">
        <v>23</v>
      </c>
      <c r="E9" t="s">
        <v>24</v>
      </c>
      <c r="F9" t="s">
        <v>20</v>
      </c>
      <c r="G9" s="1">
        <v>4744</v>
      </c>
      <c r="H9">
        <v>8</v>
      </c>
      <c r="I9" t="s">
        <v>17</v>
      </c>
    </row>
    <row r="10" spans="1:13">
      <c r="A10">
        <v>9</v>
      </c>
      <c r="B10">
        <v>56</v>
      </c>
      <c r="C10" t="s">
        <v>9</v>
      </c>
      <c r="D10" t="s">
        <v>23</v>
      </c>
      <c r="E10" t="s">
        <v>19</v>
      </c>
      <c r="F10" t="s">
        <v>16</v>
      </c>
      <c r="G10" s="1">
        <v>4783</v>
      </c>
      <c r="H10">
        <v>7</v>
      </c>
      <c r="I10" t="s">
        <v>13</v>
      </c>
    </row>
    <row r="11" spans="1:13">
      <c r="A11">
        <v>10</v>
      </c>
      <c r="B11">
        <v>75</v>
      </c>
      <c r="C11" t="s">
        <v>14</v>
      </c>
      <c r="D11" t="s">
        <v>15</v>
      </c>
      <c r="E11" t="s">
        <v>11</v>
      </c>
      <c r="F11" t="s">
        <v>20</v>
      </c>
      <c r="G11" s="1">
        <v>2023</v>
      </c>
      <c r="H11">
        <v>5</v>
      </c>
      <c r="I11" t="s">
        <v>13</v>
      </c>
    </row>
    <row r="12" spans="1:13">
      <c r="A12">
        <v>11</v>
      </c>
      <c r="B12">
        <v>36</v>
      </c>
      <c r="C12" t="s">
        <v>9</v>
      </c>
      <c r="D12" t="s">
        <v>10</v>
      </c>
      <c r="E12" t="s">
        <v>24</v>
      </c>
      <c r="F12" t="s">
        <v>12</v>
      </c>
      <c r="G12" s="1">
        <v>2281</v>
      </c>
      <c r="H12">
        <v>6</v>
      </c>
      <c r="I12" t="s">
        <v>22</v>
      </c>
    </row>
    <row r="13" spans="1:13">
      <c r="A13">
        <v>12</v>
      </c>
      <c r="B13">
        <v>40</v>
      </c>
      <c r="C13" t="s">
        <v>14</v>
      </c>
      <c r="D13" t="s">
        <v>15</v>
      </c>
      <c r="E13" t="s">
        <v>24</v>
      </c>
      <c r="F13" t="s">
        <v>20</v>
      </c>
      <c r="G13" s="1">
        <v>3619</v>
      </c>
      <c r="H13">
        <v>2</v>
      </c>
      <c r="I13" t="s">
        <v>22</v>
      </c>
    </row>
    <row r="14" spans="1:13">
      <c r="A14">
        <v>13</v>
      </c>
      <c r="B14">
        <v>28</v>
      </c>
      <c r="C14" t="s">
        <v>14</v>
      </c>
      <c r="D14" t="s">
        <v>15</v>
      </c>
      <c r="E14" t="s">
        <v>11</v>
      </c>
      <c r="F14" t="s">
        <v>20</v>
      </c>
      <c r="G14" s="1">
        <v>1774</v>
      </c>
      <c r="H14">
        <v>0</v>
      </c>
      <c r="I14" t="s">
        <v>13</v>
      </c>
    </row>
    <row r="15" spans="1:13">
      <c r="A15">
        <v>14</v>
      </c>
      <c r="B15">
        <v>28</v>
      </c>
      <c r="C15" t="s">
        <v>14</v>
      </c>
      <c r="D15" t="s">
        <v>15</v>
      </c>
      <c r="E15" t="s">
        <v>21</v>
      </c>
      <c r="F15" t="s">
        <v>12</v>
      </c>
      <c r="G15" s="1">
        <v>449</v>
      </c>
      <c r="H15">
        <v>4</v>
      </c>
      <c r="I15" t="s">
        <v>13</v>
      </c>
    </row>
    <row r="16" spans="1:13">
      <c r="A16">
        <v>15</v>
      </c>
      <c r="B16">
        <v>41</v>
      </c>
      <c r="C16" t="s">
        <v>9</v>
      </c>
      <c r="D16" t="s">
        <v>15</v>
      </c>
      <c r="E16" t="s">
        <v>24</v>
      </c>
      <c r="F16" t="s">
        <v>20</v>
      </c>
      <c r="G16" s="1">
        <v>873</v>
      </c>
      <c r="H16">
        <v>1</v>
      </c>
      <c r="I16" t="s">
        <v>13</v>
      </c>
    </row>
    <row r="17" spans="1:9">
      <c r="A17">
        <v>16</v>
      </c>
      <c r="B17">
        <v>70</v>
      </c>
      <c r="C17" t="s">
        <v>9</v>
      </c>
      <c r="D17" t="s">
        <v>18</v>
      </c>
      <c r="E17" t="s">
        <v>21</v>
      </c>
      <c r="F17" t="s">
        <v>16</v>
      </c>
      <c r="G17" s="1">
        <v>4733</v>
      </c>
      <c r="H17">
        <v>4</v>
      </c>
      <c r="I17" t="s">
        <v>17</v>
      </c>
    </row>
    <row r="18" spans="1:9">
      <c r="A18">
        <v>17</v>
      </c>
      <c r="B18">
        <v>53</v>
      </c>
      <c r="C18" t="s">
        <v>9</v>
      </c>
      <c r="D18" t="s">
        <v>10</v>
      </c>
      <c r="E18" t="s">
        <v>19</v>
      </c>
      <c r="F18" t="s">
        <v>16</v>
      </c>
      <c r="G18" s="1">
        <v>2365</v>
      </c>
      <c r="H18">
        <v>7</v>
      </c>
      <c r="I18" t="s">
        <v>17</v>
      </c>
    </row>
    <row r="19" spans="1:9">
      <c r="A19">
        <v>18</v>
      </c>
      <c r="B19">
        <v>57</v>
      </c>
      <c r="C19" t="s">
        <v>9</v>
      </c>
      <c r="D19" t="s">
        <v>23</v>
      </c>
      <c r="E19" t="s">
        <v>21</v>
      </c>
      <c r="F19" t="s">
        <v>20</v>
      </c>
      <c r="G19" s="1">
        <v>970</v>
      </c>
      <c r="H19">
        <v>8</v>
      </c>
      <c r="I19" t="s">
        <v>13</v>
      </c>
    </row>
    <row r="20" spans="1:9">
      <c r="A20">
        <v>19</v>
      </c>
      <c r="B20">
        <v>41</v>
      </c>
      <c r="C20" t="s">
        <v>14</v>
      </c>
      <c r="D20" t="s">
        <v>23</v>
      </c>
      <c r="E20" t="s">
        <v>19</v>
      </c>
      <c r="F20" t="s">
        <v>16</v>
      </c>
      <c r="G20" s="1">
        <v>4162</v>
      </c>
      <c r="H20">
        <v>1</v>
      </c>
      <c r="I20" t="s">
        <v>17</v>
      </c>
    </row>
    <row r="21" spans="1:9">
      <c r="A21">
        <v>20</v>
      </c>
      <c r="B21">
        <v>20</v>
      </c>
      <c r="C21" t="s">
        <v>9</v>
      </c>
      <c r="D21" t="s">
        <v>10</v>
      </c>
      <c r="E21" t="s">
        <v>21</v>
      </c>
      <c r="F21" t="s">
        <v>20</v>
      </c>
      <c r="G21" s="1">
        <v>4563</v>
      </c>
      <c r="H21">
        <v>2</v>
      </c>
      <c r="I21" t="s">
        <v>17</v>
      </c>
    </row>
    <row r="22" spans="1:9">
      <c r="A22">
        <v>21</v>
      </c>
      <c r="B22">
        <v>39</v>
      </c>
      <c r="C22" t="s">
        <v>14</v>
      </c>
      <c r="D22" t="s">
        <v>23</v>
      </c>
      <c r="E22" t="s">
        <v>24</v>
      </c>
      <c r="F22" t="s">
        <v>16</v>
      </c>
      <c r="G22" s="1">
        <v>2184</v>
      </c>
      <c r="H22">
        <v>2</v>
      </c>
      <c r="I22" t="s">
        <v>22</v>
      </c>
    </row>
    <row r="23" spans="1:9">
      <c r="A23">
        <v>22</v>
      </c>
      <c r="B23">
        <v>70</v>
      </c>
      <c r="C23" t="s">
        <v>14</v>
      </c>
      <c r="D23" t="s">
        <v>10</v>
      </c>
      <c r="E23" t="s">
        <v>24</v>
      </c>
      <c r="F23" t="s">
        <v>16</v>
      </c>
      <c r="G23" s="1">
        <v>1277</v>
      </c>
      <c r="H23">
        <v>0</v>
      </c>
      <c r="I23" t="s">
        <v>13</v>
      </c>
    </row>
    <row r="24" spans="1:9">
      <c r="A24">
        <v>23</v>
      </c>
      <c r="B24">
        <v>19</v>
      </c>
      <c r="C24" t="s">
        <v>9</v>
      </c>
      <c r="D24" t="s">
        <v>23</v>
      </c>
      <c r="E24" t="s">
        <v>19</v>
      </c>
      <c r="F24" t="s">
        <v>20</v>
      </c>
      <c r="G24" s="1">
        <v>435</v>
      </c>
      <c r="H24">
        <v>7</v>
      </c>
      <c r="I24" t="s">
        <v>13</v>
      </c>
    </row>
    <row r="25" spans="1:9">
      <c r="A25">
        <v>24</v>
      </c>
      <c r="B25">
        <v>41</v>
      </c>
      <c r="C25" t="s">
        <v>9</v>
      </c>
      <c r="D25" t="s">
        <v>15</v>
      </c>
      <c r="E25" t="s">
        <v>11</v>
      </c>
      <c r="F25" t="s">
        <v>16</v>
      </c>
      <c r="G25" s="1">
        <v>588</v>
      </c>
      <c r="H25">
        <v>5</v>
      </c>
      <c r="I25" t="s">
        <v>17</v>
      </c>
    </row>
    <row r="26" spans="1:9">
      <c r="A26">
        <v>25</v>
      </c>
      <c r="B26">
        <v>61</v>
      </c>
      <c r="C26" t="s">
        <v>9</v>
      </c>
      <c r="D26" t="s">
        <v>23</v>
      </c>
      <c r="E26" t="s">
        <v>19</v>
      </c>
      <c r="F26" t="s">
        <v>20</v>
      </c>
      <c r="G26" s="1">
        <v>3237</v>
      </c>
      <c r="H26">
        <v>7</v>
      </c>
      <c r="I26" t="s">
        <v>13</v>
      </c>
    </row>
    <row r="27" spans="1:9">
      <c r="A27">
        <v>26</v>
      </c>
      <c r="B27">
        <v>47</v>
      </c>
      <c r="C27" t="s">
        <v>9</v>
      </c>
      <c r="D27" t="s">
        <v>10</v>
      </c>
      <c r="E27" t="s">
        <v>19</v>
      </c>
      <c r="F27" t="s">
        <v>16</v>
      </c>
      <c r="G27" s="1">
        <v>2048</v>
      </c>
      <c r="H27">
        <v>8</v>
      </c>
      <c r="I27" t="s">
        <v>22</v>
      </c>
    </row>
    <row r="28" spans="1:9">
      <c r="A28">
        <v>27</v>
      </c>
      <c r="B28">
        <v>55</v>
      </c>
      <c r="C28" t="s">
        <v>9</v>
      </c>
      <c r="D28" t="s">
        <v>10</v>
      </c>
      <c r="E28" t="s">
        <v>21</v>
      </c>
      <c r="F28" t="s">
        <v>16</v>
      </c>
      <c r="G28" s="1">
        <v>4919</v>
      </c>
      <c r="H28">
        <v>4</v>
      </c>
      <c r="I28" t="s">
        <v>22</v>
      </c>
    </row>
    <row r="29" spans="1:9">
      <c r="A29">
        <v>28</v>
      </c>
      <c r="B29">
        <v>19</v>
      </c>
      <c r="C29" t="s">
        <v>9</v>
      </c>
      <c r="D29" t="s">
        <v>10</v>
      </c>
      <c r="E29" t="s">
        <v>21</v>
      </c>
      <c r="F29" t="s">
        <v>12</v>
      </c>
      <c r="G29" s="1">
        <v>3014</v>
      </c>
      <c r="H29">
        <v>2</v>
      </c>
      <c r="I29" t="s">
        <v>22</v>
      </c>
    </row>
    <row r="30" spans="1:9">
      <c r="A30">
        <v>29</v>
      </c>
      <c r="B30">
        <v>77</v>
      </c>
      <c r="C30" t="s">
        <v>9</v>
      </c>
      <c r="D30" t="s">
        <v>10</v>
      </c>
      <c r="E30" t="s">
        <v>19</v>
      </c>
      <c r="F30" t="s">
        <v>12</v>
      </c>
      <c r="G30" s="1">
        <v>3574</v>
      </c>
      <c r="H30">
        <v>4</v>
      </c>
      <c r="I30" t="s">
        <v>13</v>
      </c>
    </row>
    <row r="31" spans="1:9">
      <c r="A31">
        <v>30</v>
      </c>
      <c r="B31">
        <v>38</v>
      </c>
      <c r="C31" t="s">
        <v>9</v>
      </c>
      <c r="D31" t="s">
        <v>10</v>
      </c>
      <c r="E31" t="s">
        <v>24</v>
      </c>
      <c r="F31" t="s">
        <v>20</v>
      </c>
      <c r="G31" s="1">
        <v>3478</v>
      </c>
      <c r="H31">
        <v>4</v>
      </c>
      <c r="I31" t="s">
        <v>13</v>
      </c>
    </row>
    <row r="32" spans="1:9">
      <c r="A32">
        <v>31</v>
      </c>
      <c r="B32">
        <v>50</v>
      </c>
      <c r="C32" t="s">
        <v>14</v>
      </c>
      <c r="D32" t="s">
        <v>18</v>
      </c>
      <c r="E32" t="s">
        <v>21</v>
      </c>
      <c r="F32" t="s">
        <v>12</v>
      </c>
      <c r="G32" s="1">
        <v>1452</v>
      </c>
      <c r="H32">
        <v>4</v>
      </c>
      <c r="I32" t="s">
        <v>13</v>
      </c>
    </row>
    <row r="33" spans="1:9">
      <c r="A33">
        <v>32</v>
      </c>
      <c r="B33">
        <v>29</v>
      </c>
      <c r="C33" t="s">
        <v>9</v>
      </c>
      <c r="D33" t="s">
        <v>18</v>
      </c>
      <c r="E33" t="s">
        <v>11</v>
      </c>
      <c r="F33" t="s">
        <v>20</v>
      </c>
      <c r="G33" s="1">
        <v>4181</v>
      </c>
      <c r="H33">
        <v>2</v>
      </c>
      <c r="I33" t="s">
        <v>13</v>
      </c>
    </row>
    <row r="34" spans="1:9">
      <c r="A34">
        <v>33</v>
      </c>
      <c r="B34">
        <v>75</v>
      </c>
      <c r="C34" t="s">
        <v>9</v>
      </c>
      <c r="D34" t="s">
        <v>23</v>
      </c>
      <c r="E34" t="s">
        <v>21</v>
      </c>
      <c r="F34" t="s">
        <v>12</v>
      </c>
      <c r="G34" s="1">
        <v>4873</v>
      </c>
      <c r="H34">
        <v>9</v>
      </c>
      <c r="I34" t="s">
        <v>13</v>
      </c>
    </row>
    <row r="35" spans="1:9">
      <c r="A35">
        <v>34</v>
      </c>
      <c r="B35">
        <v>39</v>
      </c>
      <c r="C35" t="s">
        <v>14</v>
      </c>
      <c r="D35" t="s">
        <v>10</v>
      </c>
      <c r="E35" t="s">
        <v>21</v>
      </c>
      <c r="F35" t="s">
        <v>16</v>
      </c>
      <c r="G35" s="1">
        <v>2322</v>
      </c>
      <c r="H35">
        <v>3</v>
      </c>
      <c r="I35" t="s">
        <v>22</v>
      </c>
    </row>
    <row r="36" spans="1:9">
      <c r="A36">
        <v>35</v>
      </c>
      <c r="B36">
        <v>78</v>
      </c>
      <c r="C36" t="s">
        <v>9</v>
      </c>
      <c r="D36" t="s">
        <v>23</v>
      </c>
      <c r="E36" t="s">
        <v>11</v>
      </c>
      <c r="F36" t="s">
        <v>20</v>
      </c>
      <c r="G36" s="1">
        <v>4730</v>
      </c>
      <c r="H36">
        <v>8</v>
      </c>
      <c r="I36" t="s">
        <v>17</v>
      </c>
    </row>
    <row r="37" spans="1:9">
      <c r="A37">
        <v>36</v>
      </c>
      <c r="B37">
        <v>61</v>
      </c>
      <c r="C37" t="s">
        <v>14</v>
      </c>
      <c r="D37" t="s">
        <v>10</v>
      </c>
      <c r="E37" t="s">
        <v>19</v>
      </c>
      <c r="F37" t="s">
        <v>20</v>
      </c>
      <c r="G37" s="1">
        <v>2350</v>
      </c>
      <c r="H37">
        <v>9</v>
      </c>
      <c r="I37" t="s">
        <v>22</v>
      </c>
    </row>
    <row r="38" spans="1:9">
      <c r="A38">
        <v>37</v>
      </c>
      <c r="B38">
        <v>42</v>
      </c>
      <c r="C38" t="s">
        <v>14</v>
      </c>
      <c r="D38" t="s">
        <v>10</v>
      </c>
      <c r="E38" t="s">
        <v>11</v>
      </c>
      <c r="F38" t="s">
        <v>16</v>
      </c>
      <c r="G38" s="1">
        <v>1529</v>
      </c>
      <c r="H38">
        <v>8</v>
      </c>
      <c r="I38" t="s">
        <v>13</v>
      </c>
    </row>
    <row r="39" spans="1:9">
      <c r="A39">
        <v>38</v>
      </c>
      <c r="B39">
        <v>66</v>
      </c>
      <c r="C39" t="s">
        <v>9</v>
      </c>
      <c r="D39" t="s">
        <v>18</v>
      </c>
      <c r="E39" t="s">
        <v>19</v>
      </c>
      <c r="F39" t="s">
        <v>20</v>
      </c>
      <c r="G39" s="1">
        <v>1558</v>
      </c>
      <c r="H39">
        <v>1</v>
      </c>
      <c r="I39" t="s">
        <v>22</v>
      </c>
    </row>
    <row r="40" spans="1:9">
      <c r="A40">
        <v>39</v>
      </c>
      <c r="B40">
        <v>44</v>
      </c>
      <c r="C40" t="s">
        <v>14</v>
      </c>
      <c r="D40" t="s">
        <v>18</v>
      </c>
      <c r="E40" t="s">
        <v>19</v>
      </c>
      <c r="F40" t="s">
        <v>20</v>
      </c>
      <c r="G40" s="1">
        <v>2682</v>
      </c>
      <c r="H40">
        <v>7</v>
      </c>
      <c r="I40" t="s">
        <v>13</v>
      </c>
    </row>
    <row r="41" spans="1:9">
      <c r="A41">
        <v>40</v>
      </c>
      <c r="B41">
        <v>76</v>
      </c>
      <c r="C41" t="s">
        <v>14</v>
      </c>
      <c r="D41" t="s">
        <v>15</v>
      </c>
      <c r="E41" t="s">
        <v>19</v>
      </c>
      <c r="F41" t="s">
        <v>12</v>
      </c>
      <c r="G41" s="1">
        <v>4742</v>
      </c>
      <c r="H41">
        <v>7</v>
      </c>
      <c r="I41" t="s">
        <v>13</v>
      </c>
    </row>
    <row r="42" spans="1:9">
      <c r="A42">
        <v>41</v>
      </c>
      <c r="B42">
        <v>59</v>
      </c>
      <c r="C42" t="s">
        <v>14</v>
      </c>
      <c r="D42" t="s">
        <v>18</v>
      </c>
      <c r="E42" t="s">
        <v>11</v>
      </c>
      <c r="F42" t="s">
        <v>20</v>
      </c>
      <c r="G42" s="1">
        <v>2217</v>
      </c>
      <c r="H42">
        <v>6</v>
      </c>
      <c r="I42" t="s">
        <v>22</v>
      </c>
    </row>
    <row r="43" spans="1:9">
      <c r="A43">
        <v>42</v>
      </c>
      <c r="B43">
        <v>45</v>
      </c>
      <c r="C43" t="s">
        <v>14</v>
      </c>
      <c r="D43" t="s">
        <v>15</v>
      </c>
      <c r="E43" t="s">
        <v>19</v>
      </c>
      <c r="F43" t="s">
        <v>16</v>
      </c>
      <c r="G43" s="1">
        <v>1531</v>
      </c>
      <c r="H43">
        <v>7</v>
      </c>
      <c r="I43" t="s">
        <v>13</v>
      </c>
    </row>
    <row r="44" spans="1:9">
      <c r="A44">
        <v>43</v>
      </c>
      <c r="B44">
        <v>77</v>
      </c>
      <c r="C44" t="s">
        <v>9</v>
      </c>
      <c r="D44" t="s">
        <v>15</v>
      </c>
      <c r="E44" t="s">
        <v>24</v>
      </c>
      <c r="F44" t="s">
        <v>12</v>
      </c>
      <c r="G44" s="1">
        <v>4544</v>
      </c>
      <c r="H44">
        <v>2</v>
      </c>
      <c r="I44" t="s">
        <v>17</v>
      </c>
    </row>
    <row r="45" spans="1:9">
      <c r="A45">
        <v>44</v>
      </c>
      <c r="B45">
        <v>33</v>
      </c>
      <c r="C45" t="s">
        <v>14</v>
      </c>
      <c r="D45" t="s">
        <v>15</v>
      </c>
      <c r="E45" t="s">
        <v>11</v>
      </c>
      <c r="F45" t="s">
        <v>12</v>
      </c>
      <c r="G45" s="1">
        <v>4461</v>
      </c>
      <c r="H45">
        <v>5</v>
      </c>
      <c r="I45" t="s">
        <v>13</v>
      </c>
    </row>
    <row r="46" spans="1:9">
      <c r="A46">
        <v>45</v>
      </c>
      <c r="B46">
        <v>32</v>
      </c>
      <c r="C46" t="s">
        <v>9</v>
      </c>
      <c r="D46" t="s">
        <v>15</v>
      </c>
      <c r="E46" t="s">
        <v>24</v>
      </c>
      <c r="F46" t="s">
        <v>16</v>
      </c>
      <c r="G46" s="1">
        <v>1558</v>
      </c>
      <c r="H46">
        <v>0</v>
      </c>
      <c r="I46" t="s">
        <v>17</v>
      </c>
    </row>
    <row r="47" spans="1:9">
      <c r="A47">
        <v>46</v>
      </c>
      <c r="B47">
        <v>79</v>
      </c>
      <c r="C47" t="s">
        <v>14</v>
      </c>
      <c r="D47" t="s">
        <v>15</v>
      </c>
      <c r="E47" t="s">
        <v>19</v>
      </c>
      <c r="F47" t="s">
        <v>16</v>
      </c>
      <c r="G47" s="1">
        <v>4837</v>
      </c>
      <c r="H47">
        <v>6</v>
      </c>
      <c r="I47" t="s">
        <v>17</v>
      </c>
    </row>
    <row r="48" spans="1:9">
      <c r="A48">
        <v>47</v>
      </c>
      <c r="B48">
        <v>79</v>
      </c>
      <c r="C48" t="s">
        <v>14</v>
      </c>
      <c r="D48" t="s">
        <v>23</v>
      </c>
      <c r="E48" t="s">
        <v>21</v>
      </c>
      <c r="F48" t="s">
        <v>12</v>
      </c>
      <c r="G48" s="1">
        <v>3377</v>
      </c>
      <c r="H48">
        <v>0</v>
      </c>
      <c r="I48" t="s">
        <v>13</v>
      </c>
    </row>
    <row r="49" spans="1:9">
      <c r="A49">
        <v>48</v>
      </c>
      <c r="B49">
        <v>64</v>
      </c>
      <c r="C49" t="s">
        <v>14</v>
      </c>
      <c r="D49" t="s">
        <v>18</v>
      </c>
      <c r="E49" t="s">
        <v>19</v>
      </c>
      <c r="F49" t="s">
        <v>20</v>
      </c>
      <c r="G49" s="1">
        <v>2328</v>
      </c>
      <c r="H49">
        <v>8</v>
      </c>
      <c r="I49" t="s">
        <v>22</v>
      </c>
    </row>
    <row r="50" spans="1:9">
      <c r="A50">
        <v>49</v>
      </c>
      <c r="B50">
        <v>79</v>
      </c>
      <c r="C50" t="s">
        <v>14</v>
      </c>
      <c r="D50" t="s">
        <v>15</v>
      </c>
      <c r="E50" t="s">
        <v>24</v>
      </c>
      <c r="F50" t="s">
        <v>12</v>
      </c>
      <c r="G50" s="1">
        <v>2380</v>
      </c>
      <c r="H50">
        <v>0</v>
      </c>
      <c r="I50" t="s">
        <v>17</v>
      </c>
    </row>
    <row r="51" spans="1:9">
      <c r="A51">
        <v>50</v>
      </c>
      <c r="B51">
        <v>68</v>
      </c>
      <c r="C51" t="s">
        <v>9</v>
      </c>
      <c r="D51" t="s">
        <v>10</v>
      </c>
      <c r="E51" t="s">
        <v>24</v>
      </c>
      <c r="F51" t="s">
        <v>16</v>
      </c>
      <c r="G51" s="1">
        <v>337</v>
      </c>
      <c r="H51">
        <v>0</v>
      </c>
      <c r="I51" t="s">
        <v>22</v>
      </c>
    </row>
    <row r="52" spans="1:9">
      <c r="A52">
        <v>51</v>
      </c>
      <c r="B52">
        <v>61</v>
      </c>
      <c r="C52" t="s">
        <v>9</v>
      </c>
      <c r="D52" t="s">
        <v>18</v>
      </c>
      <c r="E52" t="s">
        <v>11</v>
      </c>
      <c r="F52" t="s">
        <v>12</v>
      </c>
      <c r="G52" s="1">
        <v>3672</v>
      </c>
      <c r="H52">
        <v>6</v>
      </c>
      <c r="I52" t="s">
        <v>17</v>
      </c>
    </row>
    <row r="53" spans="1:9">
      <c r="A53">
        <v>52</v>
      </c>
      <c r="B53">
        <v>72</v>
      </c>
      <c r="C53" t="s">
        <v>14</v>
      </c>
      <c r="D53" t="s">
        <v>18</v>
      </c>
      <c r="E53" t="s">
        <v>21</v>
      </c>
      <c r="F53" t="s">
        <v>16</v>
      </c>
      <c r="G53" s="1">
        <v>3032</v>
      </c>
      <c r="H53">
        <v>1</v>
      </c>
      <c r="I53" t="s">
        <v>13</v>
      </c>
    </row>
    <row r="54" spans="1:9">
      <c r="A54">
        <v>53</v>
      </c>
      <c r="B54">
        <v>69</v>
      </c>
      <c r="C54" t="s">
        <v>14</v>
      </c>
      <c r="D54" t="s">
        <v>15</v>
      </c>
      <c r="E54" t="s">
        <v>11</v>
      </c>
      <c r="F54" t="s">
        <v>12</v>
      </c>
      <c r="G54" s="1">
        <v>3779</v>
      </c>
      <c r="H54">
        <v>4</v>
      </c>
      <c r="I54" t="s">
        <v>13</v>
      </c>
    </row>
    <row r="55" spans="1:9">
      <c r="A55">
        <v>54</v>
      </c>
      <c r="B55">
        <v>74</v>
      </c>
      <c r="C55" t="s">
        <v>9</v>
      </c>
      <c r="D55" t="s">
        <v>23</v>
      </c>
      <c r="E55" t="s">
        <v>24</v>
      </c>
      <c r="F55" t="s">
        <v>20</v>
      </c>
      <c r="G55" s="1">
        <v>3231</v>
      </c>
      <c r="H55">
        <v>7</v>
      </c>
      <c r="I55" t="s">
        <v>17</v>
      </c>
    </row>
    <row r="56" spans="1:9">
      <c r="A56">
        <v>55</v>
      </c>
      <c r="B56">
        <v>20</v>
      </c>
      <c r="C56" t="s">
        <v>14</v>
      </c>
      <c r="D56" t="s">
        <v>15</v>
      </c>
      <c r="E56" t="s">
        <v>19</v>
      </c>
      <c r="F56" t="s">
        <v>12</v>
      </c>
      <c r="G56" s="1">
        <v>4364</v>
      </c>
      <c r="H56">
        <v>7</v>
      </c>
      <c r="I56" t="s">
        <v>13</v>
      </c>
    </row>
    <row r="57" spans="1:9">
      <c r="A57">
        <v>56</v>
      </c>
      <c r="B57">
        <v>54</v>
      </c>
      <c r="C57" t="s">
        <v>14</v>
      </c>
      <c r="D57" t="s">
        <v>23</v>
      </c>
      <c r="E57" t="s">
        <v>21</v>
      </c>
      <c r="F57" t="s">
        <v>12</v>
      </c>
      <c r="G57" s="1">
        <v>2793</v>
      </c>
      <c r="H57">
        <v>2</v>
      </c>
      <c r="I57" t="s">
        <v>17</v>
      </c>
    </row>
    <row r="58" spans="1:9">
      <c r="A58">
        <v>57</v>
      </c>
      <c r="B58">
        <v>68</v>
      </c>
      <c r="C58" t="s">
        <v>14</v>
      </c>
      <c r="D58" t="s">
        <v>10</v>
      </c>
      <c r="E58" t="s">
        <v>19</v>
      </c>
      <c r="F58" t="s">
        <v>16</v>
      </c>
      <c r="G58" s="1">
        <v>4500</v>
      </c>
      <c r="H58">
        <v>6</v>
      </c>
      <c r="I58" t="s">
        <v>13</v>
      </c>
    </row>
    <row r="59" spans="1:9">
      <c r="A59">
        <v>58</v>
      </c>
      <c r="B59">
        <v>24</v>
      </c>
      <c r="C59" t="s">
        <v>9</v>
      </c>
      <c r="D59" t="s">
        <v>18</v>
      </c>
      <c r="E59" t="s">
        <v>19</v>
      </c>
      <c r="F59" t="s">
        <v>16</v>
      </c>
      <c r="G59" s="1">
        <v>4018</v>
      </c>
      <c r="H59">
        <v>2</v>
      </c>
      <c r="I59" t="s">
        <v>22</v>
      </c>
    </row>
    <row r="60" spans="1:9">
      <c r="A60">
        <v>59</v>
      </c>
      <c r="B60">
        <v>38</v>
      </c>
      <c r="C60" t="s">
        <v>9</v>
      </c>
      <c r="D60" t="s">
        <v>10</v>
      </c>
      <c r="E60" t="s">
        <v>21</v>
      </c>
      <c r="F60" t="s">
        <v>16</v>
      </c>
      <c r="G60" s="1">
        <v>4338</v>
      </c>
      <c r="H60">
        <v>5</v>
      </c>
      <c r="I60" t="s">
        <v>13</v>
      </c>
    </row>
    <row r="61" spans="1:9">
      <c r="A61">
        <v>60</v>
      </c>
      <c r="B61">
        <v>26</v>
      </c>
      <c r="C61" t="s">
        <v>9</v>
      </c>
      <c r="D61" t="s">
        <v>23</v>
      </c>
      <c r="E61" t="s">
        <v>11</v>
      </c>
      <c r="F61" t="s">
        <v>12</v>
      </c>
      <c r="G61" s="1">
        <v>4023</v>
      </c>
      <c r="H61">
        <v>5</v>
      </c>
      <c r="I61" t="s">
        <v>22</v>
      </c>
    </row>
    <row r="62" spans="1:9">
      <c r="A62">
        <v>61</v>
      </c>
      <c r="B62">
        <v>56</v>
      </c>
      <c r="C62" t="s">
        <v>14</v>
      </c>
      <c r="D62" t="s">
        <v>23</v>
      </c>
      <c r="E62" t="s">
        <v>19</v>
      </c>
      <c r="F62" t="s">
        <v>20</v>
      </c>
      <c r="G62" s="1">
        <v>4242</v>
      </c>
      <c r="H62">
        <v>2</v>
      </c>
      <c r="I62" t="s">
        <v>13</v>
      </c>
    </row>
    <row r="63" spans="1:9">
      <c r="A63">
        <v>62</v>
      </c>
      <c r="B63">
        <v>35</v>
      </c>
      <c r="C63" t="s">
        <v>14</v>
      </c>
      <c r="D63" t="s">
        <v>10</v>
      </c>
      <c r="E63" t="s">
        <v>24</v>
      </c>
      <c r="F63" t="s">
        <v>16</v>
      </c>
      <c r="G63" s="1">
        <v>2106</v>
      </c>
      <c r="H63">
        <v>6</v>
      </c>
      <c r="I63" t="s">
        <v>22</v>
      </c>
    </row>
    <row r="64" spans="1:9">
      <c r="A64">
        <v>63</v>
      </c>
      <c r="B64">
        <v>21</v>
      </c>
      <c r="C64" t="s">
        <v>9</v>
      </c>
      <c r="D64" t="s">
        <v>23</v>
      </c>
      <c r="E64" t="s">
        <v>19</v>
      </c>
      <c r="F64" t="s">
        <v>16</v>
      </c>
      <c r="G64" s="1">
        <v>960</v>
      </c>
      <c r="H64">
        <v>2</v>
      </c>
      <c r="I64" t="s">
        <v>13</v>
      </c>
    </row>
    <row r="65" spans="1:9">
      <c r="A65">
        <v>64</v>
      </c>
      <c r="B65">
        <v>42</v>
      </c>
      <c r="C65" t="s">
        <v>9</v>
      </c>
      <c r="D65" t="s">
        <v>10</v>
      </c>
      <c r="E65" t="s">
        <v>21</v>
      </c>
      <c r="F65" t="s">
        <v>12</v>
      </c>
      <c r="G65" s="1">
        <v>3645</v>
      </c>
      <c r="H65">
        <v>7</v>
      </c>
      <c r="I65" t="s">
        <v>22</v>
      </c>
    </row>
    <row r="66" spans="1:9">
      <c r="A66">
        <v>65</v>
      </c>
      <c r="B66">
        <v>77</v>
      </c>
      <c r="C66" t="s">
        <v>9</v>
      </c>
      <c r="D66" t="s">
        <v>18</v>
      </c>
      <c r="E66" t="s">
        <v>21</v>
      </c>
      <c r="F66" t="s">
        <v>16</v>
      </c>
      <c r="G66" s="1">
        <v>1099</v>
      </c>
      <c r="H66">
        <v>9</v>
      </c>
      <c r="I66" t="s">
        <v>17</v>
      </c>
    </row>
    <row r="67" spans="1:9">
      <c r="A67">
        <v>66</v>
      </c>
      <c r="B67">
        <v>31</v>
      </c>
      <c r="C67" t="s">
        <v>9</v>
      </c>
      <c r="D67" t="s">
        <v>10</v>
      </c>
      <c r="E67" t="s">
        <v>21</v>
      </c>
      <c r="F67" t="s">
        <v>20</v>
      </c>
      <c r="G67" s="1">
        <v>4655</v>
      </c>
      <c r="H67">
        <v>3</v>
      </c>
      <c r="I67" t="s">
        <v>17</v>
      </c>
    </row>
    <row r="68" spans="1:9">
      <c r="A68">
        <v>67</v>
      </c>
      <c r="B68">
        <v>67</v>
      </c>
      <c r="C68" t="s">
        <v>14</v>
      </c>
      <c r="D68" t="s">
        <v>18</v>
      </c>
      <c r="E68" t="s">
        <v>11</v>
      </c>
      <c r="F68" t="s">
        <v>20</v>
      </c>
      <c r="G68" s="1">
        <v>3147</v>
      </c>
      <c r="H68">
        <v>0</v>
      </c>
      <c r="I68" t="s">
        <v>22</v>
      </c>
    </row>
    <row r="69" spans="1:9">
      <c r="A69">
        <v>68</v>
      </c>
      <c r="B69">
        <v>75</v>
      </c>
      <c r="C69" t="s">
        <v>9</v>
      </c>
      <c r="D69" t="s">
        <v>10</v>
      </c>
      <c r="E69" t="s">
        <v>19</v>
      </c>
      <c r="F69" t="s">
        <v>16</v>
      </c>
      <c r="G69" s="1">
        <v>1919</v>
      </c>
      <c r="H69">
        <v>3</v>
      </c>
      <c r="I69" t="s">
        <v>13</v>
      </c>
    </row>
    <row r="70" spans="1:9">
      <c r="A70">
        <v>69</v>
      </c>
      <c r="B70">
        <v>26</v>
      </c>
      <c r="C70" t="s">
        <v>14</v>
      </c>
      <c r="D70" t="s">
        <v>23</v>
      </c>
      <c r="E70" t="s">
        <v>11</v>
      </c>
      <c r="F70" t="s">
        <v>16</v>
      </c>
      <c r="G70" s="1">
        <v>480</v>
      </c>
      <c r="H70">
        <v>6</v>
      </c>
      <c r="I70" t="s">
        <v>22</v>
      </c>
    </row>
    <row r="71" spans="1:9">
      <c r="A71">
        <v>70</v>
      </c>
      <c r="B71">
        <v>43</v>
      </c>
      <c r="C71" t="s">
        <v>9</v>
      </c>
      <c r="D71" t="s">
        <v>10</v>
      </c>
      <c r="E71" t="s">
        <v>11</v>
      </c>
      <c r="F71" t="s">
        <v>12</v>
      </c>
      <c r="G71" s="1">
        <v>3466</v>
      </c>
      <c r="H71">
        <v>3</v>
      </c>
      <c r="I71" t="s">
        <v>13</v>
      </c>
    </row>
    <row r="72" spans="1:9">
      <c r="A72">
        <v>71</v>
      </c>
      <c r="B72">
        <v>70</v>
      </c>
      <c r="C72" t="s">
        <v>14</v>
      </c>
      <c r="D72" t="s">
        <v>23</v>
      </c>
      <c r="E72" t="s">
        <v>21</v>
      </c>
      <c r="F72" t="s">
        <v>20</v>
      </c>
      <c r="G72" s="1">
        <v>2087</v>
      </c>
      <c r="H72">
        <v>5</v>
      </c>
      <c r="I72" t="s">
        <v>17</v>
      </c>
    </row>
    <row r="73" spans="1:9">
      <c r="A73">
        <v>72</v>
      </c>
      <c r="B73">
        <v>19</v>
      </c>
      <c r="C73" t="s">
        <v>9</v>
      </c>
      <c r="D73" t="s">
        <v>10</v>
      </c>
      <c r="E73" t="s">
        <v>21</v>
      </c>
      <c r="F73" t="s">
        <v>20</v>
      </c>
      <c r="G73" s="1">
        <v>3466</v>
      </c>
      <c r="H73">
        <v>8</v>
      </c>
      <c r="I73" t="s">
        <v>13</v>
      </c>
    </row>
    <row r="74" spans="1:9">
      <c r="A74">
        <v>73</v>
      </c>
      <c r="B74">
        <v>37</v>
      </c>
      <c r="C74" t="s">
        <v>9</v>
      </c>
      <c r="D74" t="s">
        <v>10</v>
      </c>
      <c r="E74" t="s">
        <v>11</v>
      </c>
      <c r="F74" t="s">
        <v>16</v>
      </c>
      <c r="G74" s="1">
        <v>866</v>
      </c>
      <c r="H74">
        <v>0</v>
      </c>
      <c r="I74" t="s">
        <v>17</v>
      </c>
    </row>
    <row r="75" spans="1:9">
      <c r="A75">
        <v>74</v>
      </c>
      <c r="B75">
        <v>45</v>
      </c>
      <c r="C75" t="s">
        <v>9</v>
      </c>
      <c r="D75" t="s">
        <v>15</v>
      </c>
      <c r="E75" t="s">
        <v>19</v>
      </c>
      <c r="F75" t="s">
        <v>12</v>
      </c>
      <c r="G75" s="1">
        <v>4388</v>
      </c>
      <c r="H75">
        <v>4</v>
      </c>
      <c r="I75" t="s">
        <v>13</v>
      </c>
    </row>
    <row r="76" spans="1:9">
      <c r="A76">
        <v>75</v>
      </c>
      <c r="B76">
        <v>64</v>
      </c>
      <c r="C76" t="s">
        <v>9</v>
      </c>
      <c r="D76" t="s">
        <v>23</v>
      </c>
      <c r="E76" t="s">
        <v>24</v>
      </c>
      <c r="F76" t="s">
        <v>20</v>
      </c>
      <c r="G76" s="1">
        <v>871</v>
      </c>
      <c r="H76">
        <v>6</v>
      </c>
      <c r="I76" t="s">
        <v>13</v>
      </c>
    </row>
    <row r="77" spans="1:9">
      <c r="A77">
        <v>76</v>
      </c>
      <c r="B77">
        <v>77</v>
      </c>
      <c r="C77" t="s">
        <v>14</v>
      </c>
      <c r="D77" t="s">
        <v>15</v>
      </c>
      <c r="E77" t="s">
        <v>11</v>
      </c>
      <c r="F77" t="s">
        <v>20</v>
      </c>
      <c r="G77" s="1">
        <v>2169</v>
      </c>
      <c r="H77">
        <v>0</v>
      </c>
      <c r="I77" t="s">
        <v>13</v>
      </c>
    </row>
    <row r="78" spans="1:9">
      <c r="A78">
        <v>77</v>
      </c>
      <c r="B78">
        <v>24</v>
      </c>
      <c r="C78" t="s">
        <v>9</v>
      </c>
      <c r="D78" t="s">
        <v>23</v>
      </c>
      <c r="E78" t="s">
        <v>19</v>
      </c>
      <c r="F78" t="s">
        <v>12</v>
      </c>
      <c r="G78" s="1">
        <v>4356</v>
      </c>
      <c r="H78">
        <v>3</v>
      </c>
      <c r="I78" t="s">
        <v>22</v>
      </c>
    </row>
    <row r="79" spans="1:9">
      <c r="A79">
        <v>78</v>
      </c>
      <c r="B79">
        <v>61</v>
      </c>
      <c r="C79" t="s">
        <v>14</v>
      </c>
      <c r="D79" t="s">
        <v>15</v>
      </c>
      <c r="E79" t="s">
        <v>21</v>
      </c>
      <c r="F79" t="s">
        <v>12</v>
      </c>
      <c r="G79" s="1">
        <v>3322</v>
      </c>
      <c r="H79">
        <v>5</v>
      </c>
      <c r="I79" t="s">
        <v>22</v>
      </c>
    </row>
    <row r="80" spans="1:9">
      <c r="A80">
        <v>79</v>
      </c>
      <c r="B80">
        <v>78</v>
      </c>
      <c r="C80" t="s">
        <v>14</v>
      </c>
      <c r="D80" t="s">
        <v>18</v>
      </c>
      <c r="E80" t="s">
        <v>21</v>
      </c>
      <c r="F80" t="s">
        <v>20</v>
      </c>
      <c r="G80" s="1">
        <v>4899</v>
      </c>
      <c r="H80">
        <v>1</v>
      </c>
      <c r="I80" t="s">
        <v>17</v>
      </c>
    </row>
    <row r="81" spans="1:9">
      <c r="A81">
        <v>80</v>
      </c>
      <c r="B81">
        <v>25</v>
      </c>
      <c r="C81" t="s">
        <v>14</v>
      </c>
      <c r="D81" t="s">
        <v>10</v>
      </c>
      <c r="E81" t="s">
        <v>19</v>
      </c>
      <c r="F81" t="s">
        <v>20</v>
      </c>
      <c r="G81" s="1">
        <v>4977</v>
      </c>
      <c r="H81">
        <v>9</v>
      </c>
      <c r="I81" t="s">
        <v>17</v>
      </c>
    </row>
    <row r="82" spans="1:9">
      <c r="A82">
        <v>81</v>
      </c>
      <c r="B82">
        <v>64</v>
      </c>
      <c r="C82" t="s">
        <v>14</v>
      </c>
      <c r="D82" t="s">
        <v>23</v>
      </c>
      <c r="E82" t="s">
        <v>24</v>
      </c>
      <c r="F82" t="s">
        <v>12</v>
      </c>
      <c r="G82" s="1">
        <v>4100</v>
      </c>
      <c r="H82">
        <v>4</v>
      </c>
      <c r="I82" t="s">
        <v>22</v>
      </c>
    </row>
    <row r="83" spans="1:9">
      <c r="A83">
        <v>82</v>
      </c>
      <c r="B83">
        <v>52</v>
      </c>
      <c r="C83" t="s">
        <v>9</v>
      </c>
      <c r="D83" t="s">
        <v>23</v>
      </c>
      <c r="E83" t="s">
        <v>21</v>
      </c>
      <c r="F83" t="s">
        <v>20</v>
      </c>
      <c r="G83" s="1">
        <v>723</v>
      </c>
      <c r="H83">
        <v>9</v>
      </c>
      <c r="I83" t="s">
        <v>17</v>
      </c>
    </row>
    <row r="84" spans="1:9">
      <c r="A84">
        <v>83</v>
      </c>
      <c r="B84">
        <v>31</v>
      </c>
      <c r="C84" t="s">
        <v>14</v>
      </c>
      <c r="D84" t="s">
        <v>10</v>
      </c>
      <c r="E84" t="s">
        <v>21</v>
      </c>
      <c r="F84" t="s">
        <v>16</v>
      </c>
      <c r="G84" s="1">
        <v>2593</v>
      </c>
      <c r="H84">
        <v>0</v>
      </c>
      <c r="I84" t="s">
        <v>22</v>
      </c>
    </row>
    <row r="85" spans="1:9">
      <c r="A85">
        <v>84</v>
      </c>
      <c r="B85">
        <v>34</v>
      </c>
      <c r="C85" t="s">
        <v>14</v>
      </c>
      <c r="D85" t="s">
        <v>23</v>
      </c>
      <c r="E85" t="s">
        <v>21</v>
      </c>
      <c r="F85" t="s">
        <v>16</v>
      </c>
      <c r="G85" s="1">
        <v>3317</v>
      </c>
      <c r="H85">
        <v>5</v>
      </c>
      <c r="I85" t="s">
        <v>13</v>
      </c>
    </row>
    <row r="86" spans="1:9">
      <c r="A86">
        <v>85</v>
      </c>
      <c r="B86">
        <v>53</v>
      </c>
      <c r="C86" t="s">
        <v>14</v>
      </c>
      <c r="D86" t="s">
        <v>23</v>
      </c>
      <c r="E86" t="s">
        <v>19</v>
      </c>
      <c r="F86" t="s">
        <v>12</v>
      </c>
      <c r="G86" s="1">
        <v>2793</v>
      </c>
      <c r="H86">
        <v>5</v>
      </c>
      <c r="I86" t="s">
        <v>17</v>
      </c>
    </row>
    <row r="87" spans="1:9">
      <c r="A87">
        <v>86</v>
      </c>
      <c r="B87">
        <v>67</v>
      </c>
      <c r="C87" t="s">
        <v>9</v>
      </c>
      <c r="D87" t="s">
        <v>15</v>
      </c>
      <c r="E87" t="s">
        <v>11</v>
      </c>
      <c r="F87" t="s">
        <v>12</v>
      </c>
      <c r="G87" s="1">
        <v>2168</v>
      </c>
      <c r="H87">
        <v>3</v>
      </c>
      <c r="I87" t="s">
        <v>17</v>
      </c>
    </row>
    <row r="88" spans="1:9">
      <c r="A88">
        <v>87</v>
      </c>
      <c r="B88">
        <v>57</v>
      </c>
      <c r="C88" t="s">
        <v>9</v>
      </c>
      <c r="D88" t="s">
        <v>23</v>
      </c>
      <c r="E88" t="s">
        <v>21</v>
      </c>
      <c r="F88" t="s">
        <v>12</v>
      </c>
      <c r="G88" s="1">
        <v>1953</v>
      </c>
      <c r="H88">
        <v>7</v>
      </c>
      <c r="I88" t="s">
        <v>22</v>
      </c>
    </row>
    <row r="89" spans="1:9">
      <c r="A89">
        <v>88</v>
      </c>
      <c r="B89">
        <v>21</v>
      </c>
      <c r="C89" t="s">
        <v>9</v>
      </c>
      <c r="D89" t="s">
        <v>18</v>
      </c>
      <c r="E89" t="s">
        <v>11</v>
      </c>
      <c r="F89" t="s">
        <v>16</v>
      </c>
      <c r="G89" s="1">
        <v>2496</v>
      </c>
      <c r="H89">
        <v>3</v>
      </c>
      <c r="I89" t="s">
        <v>17</v>
      </c>
    </row>
    <row r="90" spans="1:9">
      <c r="A90">
        <v>89</v>
      </c>
      <c r="B90">
        <v>19</v>
      </c>
      <c r="C90" t="s">
        <v>9</v>
      </c>
      <c r="D90" t="s">
        <v>18</v>
      </c>
      <c r="E90" t="s">
        <v>24</v>
      </c>
      <c r="F90" t="s">
        <v>20</v>
      </c>
      <c r="G90" s="1">
        <v>2461</v>
      </c>
      <c r="H90">
        <v>7</v>
      </c>
      <c r="I90" t="s">
        <v>17</v>
      </c>
    </row>
    <row r="91" spans="1:9">
      <c r="A91">
        <v>90</v>
      </c>
      <c r="B91">
        <v>79</v>
      </c>
      <c r="C91" t="s">
        <v>14</v>
      </c>
      <c r="D91" t="s">
        <v>10</v>
      </c>
      <c r="E91" t="s">
        <v>21</v>
      </c>
      <c r="F91" t="s">
        <v>16</v>
      </c>
      <c r="G91" s="1">
        <v>2486</v>
      </c>
      <c r="H91">
        <v>7</v>
      </c>
      <c r="I91" t="s">
        <v>13</v>
      </c>
    </row>
    <row r="92" spans="1:9">
      <c r="A92">
        <v>91</v>
      </c>
      <c r="B92">
        <v>23</v>
      </c>
      <c r="C92" t="s">
        <v>14</v>
      </c>
      <c r="D92" t="s">
        <v>23</v>
      </c>
      <c r="E92" t="s">
        <v>21</v>
      </c>
      <c r="F92" t="s">
        <v>20</v>
      </c>
      <c r="G92" s="1">
        <v>4402</v>
      </c>
      <c r="H92">
        <v>4</v>
      </c>
      <c r="I92" t="s">
        <v>17</v>
      </c>
    </row>
    <row r="93" spans="1:9">
      <c r="A93">
        <v>92</v>
      </c>
      <c r="B93">
        <v>71</v>
      </c>
      <c r="C93" t="s">
        <v>9</v>
      </c>
      <c r="D93" t="s">
        <v>10</v>
      </c>
      <c r="E93" t="s">
        <v>24</v>
      </c>
      <c r="F93" t="s">
        <v>16</v>
      </c>
      <c r="G93" s="1">
        <v>3078</v>
      </c>
      <c r="H93">
        <v>3</v>
      </c>
      <c r="I93" t="s">
        <v>13</v>
      </c>
    </row>
    <row r="94" spans="1:9">
      <c r="A94">
        <v>93</v>
      </c>
      <c r="B94">
        <v>59</v>
      </c>
      <c r="C94" t="s">
        <v>14</v>
      </c>
      <c r="D94" t="s">
        <v>18</v>
      </c>
      <c r="E94" t="s">
        <v>21</v>
      </c>
      <c r="F94" t="s">
        <v>20</v>
      </c>
      <c r="G94" s="1">
        <v>4343</v>
      </c>
      <c r="H94">
        <v>1</v>
      </c>
      <c r="I94" t="s">
        <v>22</v>
      </c>
    </row>
    <row r="95" spans="1:9">
      <c r="A95">
        <v>94</v>
      </c>
      <c r="B95">
        <v>21</v>
      </c>
      <c r="C95" t="s">
        <v>14</v>
      </c>
      <c r="D95" t="s">
        <v>23</v>
      </c>
      <c r="E95" t="s">
        <v>11</v>
      </c>
      <c r="F95" t="s">
        <v>16</v>
      </c>
      <c r="G95" s="1">
        <v>3844</v>
      </c>
      <c r="H95">
        <v>2</v>
      </c>
      <c r="I95" t="s">
        <v>17</v>
      </c>
    </row>
    <row r="96" spans="1:9">
      <c r="A96">
        <v>95</v>
      </c>
      <c r="B96">
        <v>71</v>
      </c>
      <c r="C96" t="s">
        <v>14</v>
      </c>
      <c r="D96" t="s">
        <v>23</v>
      </c>
      <c r="E96" t="s">
        <v>19</v>
      </c>
      <c r="F96" t="s">
        <v>12</v>
      </c>
      <c r="G96" s="1">
        <v>4632</v>
      </c>
      <c r="H96">
        <v>2</v>
      </c>
      <c r="I96" t="s">
        <v>13</v>
      </c>
    </row>
    <row r="97" spans="1:9">
      <c r="A97">
        <v>96</v>
      </c>
      <c r="B97">
        <v>46</v>
      </c>
      <c r="C97" t="s">
        <v>9</v>
      </c>
      <c r="D97" t="s">
        <v>10</v>
      </c>
      <c r="E97" t="s">
        <v>11</v>
      </c>
      <c r="F97" t="s">
        <v>16</v>
      </c>
      <c r="G97" s="1">
        <v>2255</v>
      </c>
      <c r="H97">
        <v>3</v>
      </c>
      <c r="I97" t="s">
        <v>22</v>
      </c>
    </row>
    <row r="98" spans="1:9">
      <c r="A98">
        <v>97</v>
      </c>
      <c r="B98">
        <v>35</v>
      </c>
      <c r="C98" t="s">
        <v>9</v>
      </c>
      <c r="D98" t="s">
        <v>18</v>
      </c>
      <c r="E98" t="s">
        <v>19</v>
      </c>
      <c r="F98" t="s">
        <v>20</v>
      </c>
      <c r="G98" s="1">
        <v>4920</v>
      </c>
      <c r="H98">
        <v>3</v>
      </c>
      <c r="I98" t="s">
        <v>17</v>
      </c>
    </row>
    <row r="99" spans="1:9">
      <c r="A99">
        <v>98</v>
      </c>
      <c r="B99">
        <v>43</v>
      </c>
      <c r="C99" t="s">
        <v>14</v>
      </c>
      <c r="D99" t="s">
        <v>23</v>
      </c>
      <c r="E99" t="s">
        <v>19</v>
      </c>
      <c r="F99" t="s">
        <v>16</v>
      </c>
      <c r="G99" s="1">
        <v>1476</v>
      </c>
      <c r="H99">
        <v>9</v>
      </c>
      <c r="I99" t="s">
        <v>22</v>
      </c>
    </row>
    <row r="100" spans="1:9">
      <c r="A100">
        <v>99</v>
      </c>
      <c r="B100">
        <v>61</v>
      </c>
      <c r="C100" t="s">
        <v>9</v>
      </c>
      <c r="D100" t="s">
        <v>10</v>
      </c>
      <c r="E100" t="s">
        <v>11</v>
      </c>
      <c r="F100" t="s">
        <v>16</v>
      </c>
      <c r="G100" s="1">
        <v>2966</v>
      </c>
      <c r="H100">
        <v>4</v>
      </c>
      <c r="I100" t="s">
        <v>17</v>
      </c>
    </row>
    <row r="101" spans="1:9">
      <c r="A101">
        <v>100</v>
      </c>
      <c r="B101">
        <v>51</v>
      </c>
      <c r="C101" t="s">
        <v>9</v>
      </c>
      <c r="D101" t="s">
        <v>18</v>
      </c>
      <c r="E101" t="s">
        <v>11</v>
      </c>
      <c r="F101" t="s">
        <v>16</v>
      </c>
      <c r="G101" s="1">
        <v>502</v>
      </c>
      <c r="H101">
        <v>3</v>
      </c>
      <c r="I101" t="s">
        <v>22</v>
      </c>
    </row>
    <row r="102" spans="1:9">
      <c r="A102">
        <v>101</v>
      </c>
      <c r="B102">
        <v>27</v>
      </c>
      <c r="C102" t="s">
        <v>9</v>
      </c>
      <c r="D102" t="s">
        <v>10</v>
      </c>
      <c r="E102" t="s">
        <v>11</v>
      </c>
      <c r="F102" t="s">
        <v>12</v>
      </c>
      <c r="G102" s="1">
        <v>838</v>
      </c>
      <c r="H102">
        <v>9</v>
      </c>
      <c r="I102" t="s">
        <v>22</v>
      </c>
    </row>
    <row r="103" spans="1:9">
      <c r="A103">
        <v>102</v>
      </c>
      <c r="B103">
        <v>79</v>
      </c>
      <c r="C103" t="s">
        <v>9</v>
      </c>
      <c r="D103" t="s">
        <v>15</v>
      </c>
      <c r="E103" t="s">
        <v>11</v>
      </c>
      <c r="F103" t="s">
        <v>16</v>
      </c>
      <c r="G103" s="1">
        <v>255</v>
      </c>
      <c r="H103">
        <v>7</v>
      </c>
      <c r="I103" t="s">
        <v>13</v>
      </c>
    </row>
    <row r="104" spans="1:9">
      <c r="A104">
        <v>103</v>
      </c>
      <c r="B104">
        <v>53</v>
      </c>
      <c r="C104" t="s">
        <v>9</v>
      </c>
      <c r="D104" t="s">
        <v>23</v>
      </c>
      <c r="E104" t="s">
        <v>24</v>
      </c>
      <c r="F104" t="s">
        <v>12</v>
      </c>
      <c r="G104" s="1">
        <v>725</v>
      </c>
      <c r="H104">
        <v>5</v>
      </c>
      <c r="I104" t="s">
        <v>22</v>
      </c>
    </row>
    <row r="105" spans="1:9">
      <c r="A105">
        <v>104</v>
      </c>
      <c r="B105">
        <v>31</v>
      </c>
      <c r="C105" t="s">
        <v>14</v>
      </c>
      <c r="D105" t="s">
        <v>15</v>
      </c>
      <c r="E105" t="s">
        <v>21</v>
      </c>
      <c r="F105" t="s">
        <v>12</v>
      </c>
      <c r="G105" s="1">
        <v>4769</v>
      </c>
      <c r="H105">
        <v>5</v>
      </c>
      <c r="I105" t="s">
        <v>17</v>
      </c>
    </row>
    <row r="106" spans="1:9">
      <c r="A106">
        <v>105</v>
      </c>
      <c r="B106">
        <v>48</v>
      </c>
      <c r="C106" t="s">
        <v>9</v>
      </c>
      <c r="D106" t="s">
        <v>18</v>
      </c>
      <c r="E106" t="s">
        <v>19</v>
      </c>
      <c r="F106" t="s">
        <v>16</v>
      </c>
      <c r="G106" s="1">
        <v>4323</v>
      </c>
      <c r="H106">
        <v>7</v>
      </c>
      <c r="I106" t="s">
        <v>17</v>
      </c>
    </row>
    <row r="107" spans="1:9">
      <c r="A107">
        <v>106</v>
      </c>
      <c r="B107">
        <v>65</v>
      </c>
      <c r="C107" t="s">
        <v>14</v>
      </c>
      <c r="D107" t="s">
        <v>15</v>
      </c>
      <c r="E107" t="s">
        <v>11</v>
      </c>
      <c r="F107" t="s">
        <v>16</v>
      </c>
      <c r="G107" s="1">
        <v>2325</v>
      </c>
      <c r="H107">
        <v>6</v>
      </c>
      <c r="I107" t="s">
        <v>13</v>
      </c>
    </row>
    <row r="108" spans="1:9">
      <c r="A108">
        <v>107</v>
      </c>
      <c r="B108">
        <v>32</v>
      </c>
      <c r="C108" t="s">
        <v>14</v>
      </c>
      <c r="D108" t="s">
        <v>15</v>
      </c>
      <c r="E108" t="s">
        <v>11</v>
      </c>
      <c r="F108" t="s">
        <v>16</v>
      </c>
      <c r="G108" s="1">
        <v>3487</v>
      </c>
      <c r="H108">
        <v>9</v>
      </c>
      <c r="I108" t="s">
        <v>17</v>
      </c>
    </row>
    <row r="109" spans="1:9">
      <c r="A109">
        <v>108</v>
      </c>
      <c r="B109">
        <v>25</v>
      </c>
      <c r="C109" t="s">
        <v>9</v>
      </c>
      <c r="D109" t="s">
        <v>18</v>
      </c>
      <c r="E109" t="s">
        <v>11</v>
      </c>
      <c r="F109" t="s">
        <v>20</v>
      </c>
      <c r="G109" s="1">
        <v>564</v>
      </c>
      <c r="H109">
        <v>9</v>
      </c>
      <c r="I109" t="s">
        <v>17</v>
      </c>
    </row>
    <row r="110" spans="1:9">
      <c r="A110">
        <v>109</v>
      </c>
      <c r="B110">
        <v>31</v>
      </c>
      <c r="C110" t="s">
        <v>14</v>
      </c>
      <c r="D110" t="s">
        <v>10</v>
      </c>
      <c r="E110" t="s">
        <v>24</v>
      </c>
      <c r="F110" t="s">
        <v>16</v>
      </c>
      <c r="G110" s="1">
        <v>4821</v>
      </c>
      <c r="H110">
        <v>7</v>
      </c>
      <c r="I110" t="s">
        <v>17</v>
      </c>
    </row>
    <row r="111" spans="1:9">
      <c r="A111">
        <v>110</v>
      </c>
      <c r="B111">
        <v>40</v>
      </c>
      <c r="C111" t="s">
        <v>14</v>
      </c>
      <c r="D111" t="s">
        <v>15</v>
      </c>
      <c r="E111" t="s">
        <v>11</v>
      </c>
      <c r="F111" t="s">
        <v>12</v>
      </c>
      <c r="G111" s="1">
        <v>1846</v>
      </c>
      <c r="H111">
        <v>1</v>
      </c>
      <c r="I111" t="s">
        <v>22</v>
      </c>
    </row>
    <row r="112" spans="1:9">
      <c r="A112">
        <v>111</v>
      </c>
      <c r="B112">
        <v>77</v>
      </c>
      <c r="C112" t="s">
        <v>14</v>
      </c>
      <c r="D112" t="s">
        <v>10</v>
      </c>
      <c r="E112" t="s">
        <v>11</v>
      </c>
      <c r="F112" t="s">
        <v>16</v>
      </c>
      <c r="G112" s="1">
        <v>1118</v>
      </c>
      <c r="H112">
        <v>8</v>
      </c>
      <c r="I112" t="s">
        <v>22</v>
      </c>
    </row>
    <row r="113" spans="1:9">
      <c r="A113">
        <v>112</v>
      </c>
      <c r="B113">
        <v>74</v>
      </c>
      <c r="C113" t="s">
        <v>9</v>
      </c>
      <c r="D113" t="s">
        <v>15</v>
      </c>
      <c r="E113" t="s">
        <v>11</v>
      </c>
      <c r="F113" t="s">
        <v>20</v>
      </c>
      <c r="G113" s="1">
        <v>2997</v>
      </c>
      <c r="H113">
        <v>0</v>
      </c>
      <c r="I113" t="s">
        <v>17</v>
      </c>
    </row>
    <row r="114" spans="1:9">
      <c r="A114">
        <v>113</v>
      </c>
      <c r="B114">
        <v>79</v>
      </c>
      <c r="C114" t="s">
        <v>9</v>
      </c>
      <c r="D114" t="s">
        <v>10</v>
      </c>
      <c r="E114" t="s">
        <v>21</v>
      </c>
      <c r="F114" t="s">
        <v>16</v>
      </c>
      <c r="G114" s="1">
        <v>1731</v>
      </c>
      <c r="H114">
        <v>7</v>
      </c>
      <c r="I114" t="s">
        <v>13</v>
      </c>
    </row>
    <row r="115" spans="1:9">
      <c r="A115">
        <v>114</v>
      </c>
      <c r="B115">
        <v>57</v>
      </c>
      <c r="C115" t="s">
        <v>14</v>
      </c>
      <c r="D115" t="s">
        <v>18</v>
      </c>
      <c r="E115" t="s">
        <v>24</v>
      </c>
      <c r="F115" t="s">
        <v>20</v>
      </c>
      <c r="G115" s="1">
        <v>3545</v>
      </c>
      <c r="H115">
        <v>3</v>
      </c>
      <c r="I115" t="s">
        <v>22</v>
      </c>
    </row>
    <row r="116" spans="1:9">
      <c r="A116">
        <v>115</v>
      </c>
      <c r="B116">
        <v>38</v>
      </c>
      <c r="C116" t="s">
        <v>9</v>
      </c>
      <c r="D116" t="s">
        <v>15</v>
      </c>
      <c r="E116" t="s">
        <v>11</v>
      </c>
      <c r="F116" t="s">
        <v>20</v>
      </c>
      <c r="G116" s="1">
        <v>2106</v>
      </c>
      <c r="H116">
        <v>3</v>
      </c>
      <c r="I116" t="s">
        <v>13</v>
      </c>
    </row>
    <row r="117" spans="1:9">
      <c r="A117">
        <v>116</v>
      </c>
      <c r="B117">
        <v>33</v>
      </c>
      <c r="C117" t="s">
        <v>9</v>
      </c>
      <c r="D117" t="s">
        <v>18</v>
      </c>
      <c r="E117" t="s">
        <v>19</v>
      </c>
      <c r="F117" t="s">
        <v>16</v>
      </c>
      <c r="G117" s="1">
        <v>3286</v>
      </c>
      <c r="H117">
        <v>4</v>
      </c>
      <c r="I117" t="s">
        <v>17</v>
      </c>
    </row>
    <row r="118" spans="1:9">
      <c r="A118">
        <v>117</v>
      </c>
      <c r="B118">
        <v>62</v>
      </c>
      <c r="C118" t="s">
        <v>9</v>
      </c>
      <c r="D118" t="s">
        <v>15</v>
      </c>
      <c r="E118" t="s">
        <v>19</v>
      </c>
      <c r="F118" t="s">
        <v>12</v>
      </c>
      <c r="G118" s="1">
        <v>4780</v>
      </c>
      <c r="H118">
        <v>7</v>
      </c>
      <c r="I118" t="s">
        <v>17</v>
      </c>
    </row>
    <row r="119" spans="1:9">
      <c r="A119">
        <v>118</v>
      </c>
      <c r="B119">
        <v>35</v>
      </c>
      <c r="C119" t="s">
        <v>9</v>
      </c>
      <c r="D119" t="s">
        <v>18</v>
      </c>
      <c r="E119" t="s">
        <v>19</v>
      </c>
      <c r="F119" t="s">
        <v>20</v>
      </c>
      <c r="G119" s="1">
        <v>2275</v>
      </c>
      <c r="H119">
        <v>4</v>
      </c>
      <c r="I119" t="s">
        <v>22</v>
      </c>
    </row>
    <row r="120" spans="1:9">
      <c r="A120">
        <v>119</v>
      </c>
      <c r="B120">
        <v>64</v>
      </c>
      <c r="C120" t="s">
        <v>14</v>
      </c>
      <c r="D120" t="s">
        <v>18</v>
      </c>
      <c r="E120" t="s">
        <v>24</v>
      </c>
      <c r="F120" t="s">
        <v>16</v>
      </c>
      <c r="G120" s="1">
        <v>913</v>
      </c>
      <c r="H120">
        <v>7</v>
      </c>
      <c r="I120" t="s">
        <v>17</v>
      </c>
    </row>
    <row r="121" spans="1:9">
      <c r="A121">
        <v>120</v>
      </c>
      <c r="B121">
        <v>70</v>
      </c>
      <c r="C121" t="s">
        <v>14</v>
      </c>
      <c r="D121" t="s">
        <v>15</v>
      </c>
      <c r="E121" t="s">
        <v>24</v>
      </c>
      <c r="F121" t="s">
        <v>16</v>
      </c>
      <c r="G121" s="1">
        <v>1262</v>
      </c>
      <c r="H121">
        <v>9</v>
      </c>
      <c r="I121" t="s">
        <v>22</v>
      </c>
    </row>
    <row r="122" spans="1:9">
      <c r="A122">
        <v>121</v>
      </c>
      <c r="B122">
        <v>41</v>
      </c>
      <c r="C122" t="s">
        <v>9</v>
      </c>
      <c r="D122" t="s">
        <v>15</v>
      </c>
      <c r="E122" t="s">
        <v>19</v>
      </c>
      <c r="F122" t="s">
        <v>12</v>
      </c>
      <c r="G122" s="1">
        <v>2176</v>
      </c>
      <c r="H122">
        <v>0</v>
      </c>
      <c r="I122" t="s">
        <v>17</v>
      </c>
    </row>
    <row r="123" spans="1:9">
      <c r="A123">
        <v>122</v>
      </c>
      <c r="B123">
        <v>43</v>
      </c>
      <c r="C123" t="s">
        <v>9</v>
      </c>
      <c r="D123" t="s">
        <v>15</v>
      </c>
      <c r="E123" t="s">
        <v>11</v>
      </c>
      <c r="F123" t="s">
        <v>20</v>
      </c>
      <c r="G123" s="1">
        <v>1496</v>
      </c>
      <c r="H123">
        <v>9</v>
      </c>
      <c r="I123" t="s">
        <v>17</v>
      </c>
    </row>
    <row r="124" spans="1:9">
      <c r="A124">
        <v>123</v>
      </c>
      <c r="B124">
        <v>42</v>
      </c>
      <c r="C124" t="s">
        <v>14</v>
      </c>
      <c r="D124" t="s">
        <v>23</v>
      </c>
      <c r="E124" t="s">
        <v>24</v>
      </c>
      <c r="F124" t="s">
        <v>20</v>
      </c>
      <c r="G124" s="1">
        <v>325</v>
      </c>
      <c r="H124">
        <v>8</v>
      </c>
      <c r="I124" t="s">
        <v>22</v>
      </c>
    </row>
    <row r="125" spans="1:9">
      <c r="A125">
        <v>124</v>
      </c>
      <c r="B125">
        <v>77</v>
      </c>
      <c r="C125" t="s">
        <v>14</v>
      </c>
      <c r="D125" t="s">
        <v>10</v>
      </c>
      <c r="E125" t="s">
        <v>19</v>
      </c>
      <c r="F125" t="s">
        <v>16</v>
      </c>
      <c r="G125" s="1">
        <v>4832</v>
      </c>
      <c r="H125">
        <v>5</v>
      </c>
      <c r="I125" t="s">
        <v>22</v>
      </c>
    </row>
    <row r="126" spans="1:9">
      <c r="A126">
        <v>125</v>
      </c>
      <c r="B126">
        <v>77</v>
      </c>
      <c r="C126" t="s">
        <v>9</v>
      </c>
      <c r="D126" t="s">
        <v>23</v>
      </c>
      <c r="E126" t="s">
        <v>19</v>
      </c>
      <c r="F126" t="s">
        <v>16</v>
      </c>
      <c r="G126" s="1">
        <v>3796</v>
      </c>
      <c r="H126">
        <v>2</v>
      </c>
      <c r="I126" t="s">
        <v>22</v>
      </c>
    </row>
    <row r="127" spans="1:9">
      <c r="A127">
        <v>126</v>
      </c>
      <c r="B127">
        <v>77</v>
      </c>
      <c r="C127" t="s">
        <v>14</v>
      </c>
      <c r="D127" t="s">
        <v>23</v>
      </c>
      <c r="E127" t="s">
        <v>11</v>
      </c>
      <c r="F127" t="s">
        <v>12</v>
      </c>
      <c r="G127" s="1">
        <v>3483</v>
      </c>
      <c r="H127">
        <v>7</v>
      </c>
      <c r="I127" t="s">
        <v>17</v>
      </c>
    </row>
    <row r="128" spans="1:9">
      <c r="A128">
        <v>127</v>
      </c>
      <c r="B128">
        <v>62</v>
      </c>
      <c r="C128" t="s">
        <v>9</v>
      </c>
      <c r="D128" t="s">
        <v>18</v>
      </c>
      <c r="E128" t="s">
        <v>21</v>
      </c>
      <c r="F128" t="s">
        <v>12</v>
      </c>
      <c r="G128" s="1">
        <v>1803</v>
      </c>
      <c r="H128">
        <v>8</v>
      </c>
      <c r="I128" t="s">
        <v>17</v>
      </c>
    </row>
    <row r="129" spans="1:9">
      <c r="A129">
        <v>128</v>
      </c>
      <c r="B129">
        <v>58</v>
      </c>
      <c r="C129" t="s">
        <v>9</v>
      </c>
      <c r="D129" t="s">
        <v>15</v>
      </c>
      <c r="E129" t="s">
        <v>24</v>
      </c>
      <c r="F129" t="s">
        <v>20</v>
      </c>
      <c r="G129" s="1">
        <v>266</v>
      </c>
      <c r="H129">
        <v>5</v>
      </c>
      <c r="I129" t="s">
        <v>13</v>
      </c>
    </row>
    <row r="130" spans="1:9">
      <c r="A130">
        <v>129</v>
      </c>
      <c r="B130">
        <v>46</v>
      </c>
      <c r="C130" t="s">
        <v>14</v>
      </c>
      <c r="D130" t="s">
        <v>10</v>
      </c>
      <c r="E130" t="s">
        <v>11</v>
      </c>
      <c r="F130" t="s">
        <v>20</v>
      </c>
      <c r="G130" s="1">
        <v>432</v>
      </c>
      <c r="H130">
        <v>6</v>
      </c>
      <c r="I130" t="s">
        <v>22</v>
      </c>
    </row>
    <row r="131" spans="1:9">
      <c r="A131">
        <v>130</v>
      </c>
      <c r="B131">
        <v>32</v>
      </c>
      <c r="C131" t="s">
        <v>14</v>
      </c>
      <c r="D131" t="s">
        <v>18</v>
      </c>
      <c r="E131" t="s">
        <v>19</v>
      </c>
      <c r="F131" t="s">
        <v>16</v>
      </c>
      <c r="G131" s="1">
        <v>2356</v>
      </c>
      <c r="H131">
        <v>0</v>
      </c>
      <c r="I131" t="s">
        <v>17</v>
      </c>
    </row>
    <row r="132" spans="1:9">
      <c r="A132">
        <v>131</v>
      </c>
      <c r="B132">
        <v>62</v>
      </c>
      <c r="C132" t="s">
        <v>9</v>
      </c>
      <c r="D132" t="s">
        <v>23</v>
      </c>
      <c r="E132" t="s">
        <v>19</v>
      </c>
      <c r="F132" t="s">
        <v>20</v>
      </c>
      <c r="G132" s="1">
        <v>1369</v>
      </c>
      <c r="H132">
        <v>4</v>
      </c>
      <c r="I132" t="s">
        <v>17</v>
      </c>
    </row>
    <row r="133" spans="1:9">
      <c r="A133">
        <v>132</v>
      </c>
      <c r="B133">
        <v>18</v>
      </c>
      <c r="C133" t="s">
        <v>9</v>
      </c>
      <c r="D133" t="s">
        <v>15</v>
      </c>
      <c r="E133" t="s">
        <v>11</v>
      </c>
      <c r="F133" t="s">
        <v>12</v>
      </c>
      <c r="G133" s="1">
        <v>2358</v>
      </c>
      <c r="H133">
        <v>4</v>
      </c>
      <c r="I133" t="s">
        <v>22</v>
      </c>
    </row>
    <row r="134" spans="1:9">
      <c r="A134">
        <v>133</v>
      </c>
      <c r="B134">
        <v>42</v>
      </c>
      <c r="C134" t="s">
        <v>14</v>
      </c>
      <c r="D134" t="s">
        <v>18</v>
      </c>
      <c r="E134" t="s">
        <v>24</v>
      </c>
      <c r="F134" t="s">
        <v>12</v>
      </c>
      <c r="G134" s="1">
        <v>4406</v>
      </c>
      <c r="H134">
        <v>9</v>
      </c>
      <c r="I134" t="s">
        <v>13</v>
      </c>
    </row>
    <row r="135" spans="1:9">
      <c r="A135">
        <v>134</v>
      </c>
      <c r="B135">
        <v>24</v>
      </c>
      <c r="C135" t="s">
        <v>9</v>
      </c>
      <c r="D135" t="s">
        <v>15</v>
      </c>
      <c r="E135" t="s">
        <v>21</v>
      </c>
      <c r="F135" t="s">
        <v>16</v>
      </c>
      <c r="G135" s="1">
        <v>1693</v>
      </c>
      <c r="H135">
        <v>3</v>
      </c>
      <c r="I135" t="s">
        <v>22</v>
      </c>
    </row>
    <row r="136" spans="1:9">
      <c r="A136">
        <v>135</v>
      </c>
      <c r="B136">
        <v>26</v>
      </c>
      <c r="C136" t="s">
        <v>14</v>
      </c>
      <c r="D136" t="s">
        <v>18</v>
      </c>
      <c r="E136" t="s">
        <v>21</v>
      </c>
      <c r="F136" t="s">
        <v>12</v>
      </c>
      <c r="G136" s="1">
        <v>4918</v>
      </c>
      <c r="H136">
        <v>5</v>
      </c>
      <c r="I136" t="s">
        <v>13</v>
      </c>
    </row>
    <row r="137" spans="1:9">
      <c r="A137">
        <v>136</v>
      </c>
      <c r="B137">
        <v>41</v>
      </c>
      <c r="C137" t="s">
        <v>9</v>
      </c>
      <c r="D137" t="s">
        <v>15</v>
      </c>
      <c r="E137" t="s">
        <v>19</v>
      </c>
      <c r="F137" t="s">
        <v>12</v>
      </c>
      <c r="G137" s="1">
        <v>4207</v>
      </c>
      <c r="H137">
        <v>6</v>
      </c>
      <c r="I137" t="s">
        <v>17</v>
      </c>
    </row>
    <row r="138" spans="1:9">
      <c r="A138">
        <v>137</v>
      </c>
      <c r="B138">
        <v>18</v>
      </c>
      <c r="C138" t="s">
        <v>14</v>
      </c>
      <c r="D138" t="s">
        <v>23</v>
      </c>
      <c r="E138" t="s">
        <v>24</v>
      </c>
      <c r="F138" t="s">
        <v>12</v>
      </c>
      <c r="G138" s="1">
        <v>2672</v>
      </c>
      <c r="H138">
        <v>8</v>
      </c>
      <c r="I138" t="s">
        <v>13</v>
      </c>
    </row>
    <row r="139" spans="1:9">
      <c r="A139">
        <v>138</v>
      </c>
      <c r="B139">
        <v>61</v>
      </c>
      <c r="C139" t="s">
        <v>14</v>
      </c>
      <c r="D139" t="s">
        <v>10</v>
      </c>
      <c r="E139" t="s">
        <v>21</v>
      </c>
      <c r="F139" t="s">
        <v>12</v>
      </c>
      <c r="G139" s="1">
        <v>2860</v>
      </c>
      <c r="H139">
        <v>0</v>
      </c>
      <c r="I139" t="s">
        <v>17</v>
      </c>
    </row>
    <row r="140" spans="1:9">
      <c r="A140">
        <v>139</v>
      </c>
      <c r="B140">
        <v>25</v>
      </c>
      <c r="C140" t="s">
        <v>14</v>
      </c>
      <c r="D140" t="s">
        <v>23</v>
      </c>
      <c r="E140" t="s">
        <v>24</v>
      </c>
      <c r="F140" t="s">
        <v>16</v>
      </c>
      <c r="G140" s="1">
        <v>2939</v>
      </c>
      <c r="H140">
        <v>5</v>
      </c>
      <c r="I140" t="s">
        <v>22</v>
      </c>
    </row>
    <row r="141" spans="1:9">
      <c r="A141">
        <v>140</v>
      </c>
      <c r="B141">
        <v>41</v>
      </c>
      <c r="C141" t="s">
        <v>9</v>
      </c>
      <c r="D141" t="s">
        <v>10</v>
      </c>
      <c r="E141" t="s">
        <v>24</v>
      </c>
      <c r="F141" t="s">
        <v>16</v>
      </c>
      <c r="G141" s="1">
        <v>1961</v>
      </c>
      <c r="H141">
        <v>6</v>
      </c>
      <c r="I141" t="s">
        <v>22</v>
      </c>
    </row>
    <row r="142" spans="1:9">
      <c r="A142">
        <v>141</v>
      </c>
      <c r="B142">
        <v>28</v>
      </c>
      <c r="C142" t="s">
        <v>9</v>
      </c>
      <c r="D142" t="s">
        <v>15</v>
      </c>
      <c r="E142" t="s">
        <v>19</v>
      </c>
      <c r="F142" t="s">
        <v>20</v>
      </c>
      <c r="G142" s="1">
        <v>3714</v>
      </c>
      <c r="H142">
        <v>2</v>
      </c>
      <c r="I142" t="s">
        <v>22</v>
      </c>
    </row>
    <row r="143" spans="1:9">
      <c r="A143">
        <v>142</v>
      </c>
      <c r="B143">
        <v>68</v>
      </c>
      <c r="C143" t="s">
        <v>14</v>
      </c>
      <c r="D143" t="s">
        <v>18</v>
      </c>
      <c r="E143" t="s">
        <v>21</v>
      </c>
      <c r="F143" t="s">
        <v>12</v>
      </c>
      <c r="G143" s="1">
        <v>2175</v>
      </c>
      <c r="H143">
        <v>7</v>
      </c>
      <c r="I143" t="s">
        <v>13</v>
      </c>
    </row>
    <row r="144" spans="1:9">
      <c r="A144">
        <v>143</v>
      </c>
      <c r="B144">
        <v>34</v>
      </c>
      <c r="C144" t="s">
        <v>9</v>
      </c>
      <c r="D144" t="s">
        <v>23</v>
      </c>
      <c r="E144" t="s">
        <v>11</v>
      </c>
      <c r="F144" t="s">
        <v>20</v>
      </c>
      <c r="G144" s="1">
        <v>2562</v>
      </c>
      <c r="H144">
        <v>4</v>
      </c>
      <c r="I144" t="s">
        <v>17</v>
      </c>
    </row>
    <row r="145" spans="1:9">
      <c r="A145">
        <v>144</v>
      </c>
      <c r="B145">
        <v>25</v>
      </c>
      <c r="C145" t="s">
        <v>14</v>
      </c>
      <c r="D145" t="s">
        <v>10</v>
      </c>
      <c r="E145" t="s">
        <v>19</v>
      </c>
      <c r="F145" t="s">
        <v>16</v>
      </c>
      <c r="G145" s="1">
        <v>1076</v>
      </c>
      <c r="H145">
        <v>8</v>
      </c>
      <c r="I145" t="s">
        <v>22</v>
      </c>
    </row>
    <row r="146" spans="1:9">
      <c r="A146">
        <v>145</v>
      </c>
      <c r="B146">
        <v>52</v>
      </c>
      <c r="C146" t="s">
        <v>14</v>
      </c>
      <c r="D146" t="s">
        <v>23</v>
      </c>
      <c r="E146" t="s">
        <v>21</v>
      </c>
      <c r="F146" t="s">
        <v>16</v>
      </c>
      <c r="G146" s="1">
        <v>4012</v>
      </c>
      <c r="H146">
        <v>4</v>
      </c>
      <c r="I146" t="s">
        <v>22</v>
      </c>
    </row>
    <row r="147" spans="1:9">
      <c r="A147">
        <v>146</v>
      </c>
      <c r="B147">
        <v>52</v>
      </c>
      <c r="C147" t="s">
        <v>9</v>
      </c>
      <c r="D147" t="s">
        <v>10</v>
      </c>
      <c r="E147" t="s">
        <v>21</v>
      </c>
      <c r="F147" t="s">
        <v>16</v>
      </c>
      <c r="G147" s="1">
        <v>3648</v>
      </c>
      <c r="H147">
        <v>8</v>
      </c>
      <c r="I147" t="s">
        <v>17</v>
      </c>
    </row>
    <row r="148" spans="1:9">
      <c r="A148">
        <v>147</v>
      </c>
      <c r="B148">
        <v>50</v>
      </c>
      <c r="C148" t="s">
        <v>9</v>
      </c>
      <c r="D148" t="s">
        <v>23</v>
      </c>
      <c r="E148" t="s">
        <v>21</v>
      </c>
      <c r="F148" t="s">
        <v>16</v>
      </c>
      <c r="G148" s="1">
        <v>1512</v>
      </c>
      <c r="H148">
        <v>9</v>
      </c>
      <c r="I148" t="s">
        <v>22</v>
      </c>
    </row>
    <row r="149" spans="1:9">
      <c r="A149">
        <v>148</v>
      </c>
      <c r="B149">
        <v>76</v>
      </c>
      <c r="C149" t="s">
        <v>14</v>
      </c>
      <c r="D149" t="s">
        <v>10</v>
      </c>
      <c r="E149" t="s">
        <v>21</v>
      </c>
      <c r="F149" t="s">
        <v>16</v>
      </c>
      <c r="G149" s="1">
        <v>1660</v>
      </c>
      <c r="H149">
        <v>3</v>
      </c>
      <c r="I149" t="s">
        <v>17</v>
      </c>
    </row>
    <row r="150" spans="1:9">
      <c r="A150">
        <v>149</v>
      </c>
      <c r="B150">
        <v>22</v>
      </c>
      <c r="C150" t="s">
        <v>9</v>
      </c>
      <c r="D150" t="s">
        <v>10</v>
      </c>
      <c r="E150" t="s">
        <v>21</v>
      </c>
      <c r="F150" t="s">
        <v>16</v>
      </c>
      <c r="G150" s="1">
        <v>2909</v>
      </c>
      <c r="H150">
        <v>8</v>
      </c>
      <c r="I150" t="s">
        <v>17</v>
      </c>
    </row>
    <row r="151" spans="1:9">
      <c r="A151">
        <v>150</v>
      </c>
      <c r="B151">
        <v>59</v>
      </c>
      <c r="C151" t="s">
        <v>9</v>
      </c>
      <c r="D151" t="s">
        <v>15</v>
      </c>
      <c r="E151" t="s">
        <v>24</v>
      </c>
      <c r="F151" t="s">
        <v>16</v>
      </c>
      <c r="G151" s="1">
        <v>2524</v>
      </c>
      <c r="H151">
        <v>4</v>
      </c>
      <c r="I151" t="s">
        <v>17</v>
      </c>
    </row>
    <row r="152" spans="1:9">
      <c r="A152">
        <v>151</v>
      </c>
      <c r="B152">
        <v>56</v>
      </c>
      <c r="C152" t="s">
        <v>14</v>
      </c>
      <c r="D152" t="s">
        <v>10</v>
      </c>
      <c r="E152" t="s">
        <v>19</v>
      </c>
      <c r="F152" t="s">
        <v>12</v>
      </c>
      <c r="G152" s="1">
        <v>1933</v>
      </c>
      <c r="H152">
        <v>9</v>
      </c>
      <c r="I152" t="s">
        <v>17</v>
      </c>
    </row>
    <row r="153" spans="1:9">
      <c r="A153">
        <v>152</v>
      </c>
      <c r="B153">
        <v>75</v>
      </c>
      <c r="C153" t="s">
        <v>14</v>
      </c>
      <c r="D153" t="s">
        <v>15</v>
      </c>
      <c r="E153" t="s">
        <v>24</v>
      </c>
      <c r="F153" t="s">
        <v>20</v>
      </c>
      <c r="G153" s="1">
        <v>1805</v>
      </c>
      <c r="H153">
        <v>8</v>
      </c>
      <c r="I153" t="s">
        <v>17</v>
      </c>
    </row>
    <row r="154" spans="1:9">
      <c r="A154">
        <v>153</v>
      </c>
      <c r="B154">
        <v>58</v>
      </c>
      <c r="C154" t="s">
        <v>9</v>
      </c>
      <c r="D154" t="s">
        <v>10</v>
      </c>
      <c r="E154" t="s">
        <v>11</v>
      </c>
      <c r="F154" t="s">
        <v>16</v>
      </c>
      <c r="G154" s="1">
        <v>2763</v>
      </c>
      <c r="H154">
        <v>2</v>
      </c>
      <c r="I154" t="s">
        <v>13</v>
      </c>
    </row>
    <row r="155" spans="1:9">
      <c r="A155">
        <v>154</v>
      </c>
      <c r="B155">
        <v>45</v>
      </c>
      <c r="C155" t="s">
        <v>14</v>
      </c>
      <c r="D155" t="s">
        <v>18</v>
      </c>
      <c r="E155" t="s">
        <v>21</v>
      </c>
      <c r="F155" t="s">
        <v>12</v>
      </c>
      <c r="G155" s="1">
        <v>3621</v>
      </c>
      <c r="H155">
        <v>3</v>
      </c>
      <c r="I155" t="s">
        <v>22</v>
      </c>
    </row>
    <row r="156" spans="1:9">
      <c r="A156">
        <v>155</v>
      </c>
      <c r="B156">
        <v>24</v>
      </c>
      <c r="C156" t="s">
        <v>14</v>
      </c>
      <c r="D156" t="s">
        <v>18</v>
      </c>
      <c r="E156" t="s">
        <v>19</v>
      </c>
      <c r="F156" t="s">
        <v>12</v>
      </c>
      <c r="G156" s="1">
        <v>3717</v>
      </c>
      <c r="H156">
        <v>8</v>
      </c>
      <c r="I156" t="s">
        <v>13</v>
      </c>
    </row>
    <row r="157" spans="1:9">
      <c r="A157">
        <v>156</v>
      </c>
      <c r="B157">
        <v>26</v>
      </c>
      <c r="C157" t="s">
        <v>9</v>
      </c>
      <c r="D157" t="s">
        <v>18</v>
      </c>
      <c r="E157" t="s">
        <v>21</v>
      </c>
      <c r="F157" t="s">
        <v>20</v>
      </c>
      <c r="G157" s="1">
        <v>2597</v>
      </c>
      <c r="H157">
        <v>9</v>
      </c>
      <c r="I157" t="s">
        <v>22</v>
      </c>
    </row>
    <row r="158" spans="1:9">
      <c r="A158">
        <v>157</v>
      </c>
      <c r="B158">
        <v>25</v>
      </c>
      <c r="C158" t="s">
        <v>14</v>
      </c>
      <c r="D158" t="s">
        <v>10</v>
      </c>
      <c r="E158" t="s">
        <v>19</v>
      </c>
      <c r="F158" t="s">
        <v>16</v>
      </c>
      <c r="G158" s="1">
        <v>3935</v>
      </c>
      <c r="H158">
        <v>5</v>
      </c>
      <c r="I158" t="s">
        <v>13</v>
      </c>
    </row>
    <row r="159" spans="1:9">
      <c r="A159">
        <v>158</v>
      </c>
      <c r="B159">
        <v>29</v>
      </c>
      <c r="C159" t="s">
        <v>14</v>
      </c>
      <c r="D159" t="s">
        <v>15</v>
      </c>
      <c r="E159" t="s">
        <v>24</v>
      </c>
      <c r="F159" t="s">
        <v>20</v>
      </c>
      <c r="G159" s="1">
        <v>3070</v>
      </c>
      <c r="H159">
        <v>1</v>
      </c>
      <c r="I159" t="s">
        <v>17</v>
      </c>
    </row>
    <row r="160" spans="1:9">
      <c r="A160">
        <v>159</v>
      </c>
      <c r="B160">
        <v>51</v>
      </c>
      <c r="C160" t="s">
        <v>9</v>
      </c>
      <c r="D160" t="s">
        <v>15</v>
      </c>
      <c r="E160" t="s">
        <v>19</v>
      </c>
      <c r="F160" t="s">
        <v>16</v>
      </c>
      <c r="G160" s="1">
        <v>1360</v>
      </c>
      <c r="H160">
        <v>6</v>
      </c>
      <c r="I160" t="s">
        <v>22</v>
      </c>
    </row>
    <row r="161" spans="1:9">
      <c r="A161">
        <v>160</v>
      </c>
      <c r="B161">
        <v>50</v>
      </c>
      <c r="C161" t="s">
        <v>9</v>
      </c>
      <c r="D161" t="s">
        <v>10</v>
      </c>
      <c r="E161" t="s">
        <v>11</v>
      </c>
      <c r="F161" t="s">
        <v>12</v>
      </c>
      <c r="G161" s="1">
        <v>442</v>
      </c>
      <c r="H161">
        <v>1</v>
      </c>
      <c r="I161" t="s">
        <v>22</v>
      </c>
    </row>
    <row r="162" spans="1:9">
      <c r="A162">
        <v>161</v>
      </c>
      <c r="B162">
        <v>65</v>
      </c>
      <c r="C162" t="s">
        <v>14</v>
      </c>
      <c r="D162" t="s">
        <v>18</v>
      </c>
      <c r="E162" t="s">
        <v>11</v>
      </c>
      <c r="F162" t="s">
        <v>12</v>
      </c>
      <c r="G162" s="1">
        <v>2790</v>
      </c>
      <c r="H162">
        <v>1</v>
      </c>
      <c r="I162" t="s">
        <v>13</v>
      </c>
    </row>
    <row r="163" spans="1:9">
      <c r="A163">
        <v>162</v>
      </c>
      <c r="B163">
        <v>72</v>
      </c>
      <c r="C163" t="s">
        <v>14</v>
      </c>
      <c r="D163" t="s">
        <v>18</v>
      </c>
      <c r="E163" t="s">
        <v>19</v>
      </c>
      <c r="F163" t="s">
        <v>12</v>
      </c>
      <c r="G163" s="1">
        <v>1263</v>
      </c>
      <c r="H163">
        <v>0</v>
      </c>
      <c r="I163" t="s">
        <v>13</v>
      </c>
    </row>
    <row r="164" spans="1:9">
      <c r="A164">
        <v>163</v>
      </c>
      <c r="B164">
        <v>40</v>
      </c>
      <c r="C164" t="s">
        <v>9</v>
      </c>
      <c r="D164" t="s">
        <v>15</v>
      </c>
      <c r="E164" t="s">
        <v>19</v>
      </c>
      <c r="F164" t="s">
        <v>12</v>
      </c>
      <c r="G164" s="1">
        <v>4524</v>
      </c>
      <c r="H164">
        <v>2</v>
      </c>
      <c r="I164" t="s">
        <v>22</v>
      </c>
    </row>
    <row r="165" spans="1:9">
      <c r="A165">
        <v>164</v>
      </c>
      <c r="B165">
        <v>79</v>
      </c>
      <c r="C165" t="s">
        <v>9</v>
      </c>
      <c r="D165" t="s">
        <v>18</v>
      </c>
      <c r="E165" t="s">
        <v>19</v>
      </c>
      <c r="F165" t="s">
        <v>20</v>
      </c>
      <c r="G165" s="1">
        <v>2795</v>
      </c>
      <c r="H165">
        <v>5</v>
      </c>
      <c r="I165" t="s">
        <v>13</v>
      </c>
    </row>
    <row r="166" spans="1:9">
      <c r="A166">
        <v>165</v>
      </c>
      <c r="B166">
        <v>41</v>
      </c>
      <c r="C166" t="s">
        <v>9</v>
      </c>
      <c r="D166" t="s">
        <v>23</v>
      </c>
      <c r="E166" t="s">
        <v>19</v>
      </c>
      <c r="F166" t="s">
        <v>16</v>
      </c>
      <c r="G166" s="1">
        <v>1119</v>
      </c>
      <c r="H166">
        <v>7</v>
      </c>
      <c r="I166" t="s">
        <v>13</v>
      </c>
    </row>
    <row r="167" spans="1:9">
      <c r="A167">
        <v>166</v>
      </c>
      <c r="B167">
        <v>54</v>
      </c>
      <c r="C167" t="s">
        <v>9</v>
      </c>
      <c r="D167" t="s">
        <v>15</v>
      </c>
      <c r="E167" t="s">
        <v>11</v>
      </c>
      <c r="F167" t="s">
        <v>16</v>
      </c>
      <c r="G167" s="1">
        <v>205</v>
      </c>
      <c r="H167">
        <v>8</v>
      </c>
      <c r="I167" t="s">
        <v>13</v>
      </c>
    </row>
    <row r="168" spans="1:9">
      <c r="A168">
        <v>167</v>
      </c>
      <c r="B168">
        <v>52</v>
      </c>
      <c r="C168" t="s">
        <v>14</v>
      </c>
      <c r="D168" t="s">
        <v>18</v>
      </c>
      <c r="E168" t="s">
        <v>21</v>
      </c>
      <c r="F168" t="s">
        <v>20</v>
      </c>
      <c r="G168" s="1">
        <v>667</v>
      </c>
      <c r="H168">
        <v>6</v>
      </c>
      <c r="I168" t="s">
        <v>17</v>
      </c>
    </row>
    <row r="169" spans="1:9">
      <c r="A169">
        <v>168</v>
      </c>
      <c r="B169">
        <v>61</v>
      </c>
      <c r="C169" t="s">
        <v>9</v>
      </c>
      <c r="D169" t="s">
        <v>15</v>
      </c>
      <c r="E169" t="s">
        <v>19</v>
      </c>
      <c r="F169" t="s">
        <v>16</v>
      </c>
      <c r="G169" s="1">
        <v>4370</v>
      </c>
      <c r="H169">
        <v>3</v>
      </c>
      <c r="I169" t="s">
        <v>17</v>
      </c>
    </row>
    <row r="170" spans="1:9">
      <c r="A170">
        <v>169</v>
      </c>
      <c r="B170">
        <v>57</v>
      </c>
      <c r="C170" t="s">
        <v>9</v>
      </c>
      <c r="D170" t="s">
        <v>23</v>
      </c>
      <c r="E170" t="s">
        <v>19</v>
      </c>
      <c r="F170" t="s">
        <v>12</v>
      </c>
      <c r="G170" s="1">
        <v>203</v>
      </c>
      <c r="H170">
        <v>5</v>
      </c>
      <c r="I170" t="s">
        <v>13</v>
      </c>
    </row>
    <row r="171" spans="1:9">
      <c r="A171">
        <v>170</v>
      </c>
      <c r="B171">
        <v>39</v>
      </c>
      <c r="C171" t="s">
        <v>14</v>
      </c>
      <c r="D171" t="s">
        <v>15</v>
      </c>
      <c r="E171" t="s">
        <v>11</v>
      </c>
      <c r="F171" t="s">
        <v>16</v>
      </c>
      <c r="G171" s="1">
        <v>845</v>
      </c>
      <c r="H171">
        <v>4</v>
      </c>
      <c r="I171" t="s">
        <v>13</v>
      </c>
    </row>
    <row r="172" spans="1:9">
      <c r="A172">
        <v>171</v>
      </c>
      <c r="B172">
        <v>44</v>
      </c>
      <c r="C172" t="s">
        <v>9</v>
      </c>
      <c r="D172" t="s">
        <v>15</v>
      </c>
      <c r="E172" t="s">
        <v>11</v>
      </c>
      <c r="F172" t="s">
        <v>12</v>
      </c>
      <c r="G172" s="1">
        <v>317</v>
      </c>
      <c r="H172">
        <v>7</v>
      </c>
      <c r="I172" t="s">
        <v>17</v>
      </c>
    </row>
    <row r="173" spans="1:9">
      <c r="A173">
        <v>172</v>
      </c>
      <c r="B173">
        <v>52</v>
      </c>
      <c r="C173" t="s">
        <v>14</v>
      </c>
      <c r="D173" t="s">
        <v>15</v>
      </c>
      <c r="E173" t="s">
        <v>24</v>
      </c>
      <c r="F173" t="s">
        <v>20</v>
      </c>
      <c r="G173" s="1">
        <v>3128</v>
      </c>
      <c r="H173">
        <v>0</v>
      </c>
      <c r="I173" t="s">
        <v>17</v>
      </c>
    </row>
    <row r="174" spans="1:9">
      <c r="A174">
        <v>173</v>
      </c>
      <c r="B174">
        <v>18</v>
      </c>
      <c r="C174" t="s">
        <v>9</v>
      </c>
      <c r="D174" t="s">
        <v>15</v>
      </c>
      <c r="E174" t="s">
        <v>19</v>
      </c>
      <c r="F174" t="s">
        <v>16</v>
      </c>
      <c r="G174" s="1">
        <v>2751</v>
      </c>
      <c r="H174">
        <v>0</v>
      </c>
      <c r="I174" t="s">
        <v>22</v>
      </c>
    </row>
    <row r="175" spans="1:9">
      <c r="A175">
        <v>174</v>
      </c>
      <c r="B175">
        <v>52</v>
      </c>
      <c r="C175" t="s">
        <v>9</v>
      </c>
      <c r="D175" t="s">
        <v>23</v>
      </c>
      <c r="E175" t="s">
        <v>24</v>
      </c>
      <c r="F175" t="s">
        <v>20</v>
      </c>
      <c r="G175" s="1">
        <v>4489</v>
      </c>
      <c r="H175">
        <v>5</v>
      </c>
      <c r="I175" t="s">
        <v>22</v>
      </c>
    </row>
    <row r="176" spans="1:9">
      <c r="A176">
        <v>175</v>
      </c>
      <c r="B176">
        <v>54</v>
      </c>
      <c r="C176" t="s">
        <v>9</v>
      </c>
      <c r="D176" t="s">
        <v>10</v>
      </c>
      <c r="E176" t="s">
        <v>11</v>
      </c>
      <c r="F176" t="s">
        <v>16</v>
      </c>
      <c r="G176" s="1">
        <v>1046</v>
      </c>
      <c r="H176">
        <v>9</v>
      </c>
      <c r="I176" t="s">
        <v>17</v>
      </c>
    </row>
    <row r="177" spans="1:9">
      <c r="A177">
        <v>176</v>
      </c>
      <c r="B177">
        <v>64</v>
      </c>
      <c r="C177" t="s">
        <v>14</v>
      </c>
      <c r="D177" t="s">
        <v>15</v>
      </c>
      <c r="E177" t="s">
        <v>11</v>
      </c>
      <c r="F177" t="s">
        <v>12</v>
      </c>
      <c r="G177" s="1">
        <v>2962</v>
      </c>
      <c r="H177">
        <v>1</v>
      </c>
      <c r="I177" t="s">
        <v>13</v>
      </c>
    </row>
    <row r="178" spans="1:9">
      <c r="A178">
        <v>177</v>
      </c>
      <c r="B178">
        <v>31</v>
      </c>
      <c r="C178" t="s">
        <v>14</v>
      </c>
      <c r="D178" t="s">
        <v>15</v>
      </c>
      <c r="E178" t="s">
        <v>21</v>
      </c>
      <c r="F178" t="s">
        <v>20</v>
      </c>
      <c r="G178" s="1">
        <v>1341</v>
      </c>
      <c r="H178">
        <v>4</v>
      </c>
      <c r="I178" t="s">
        <v>13</v>
      </c>
    </row>
    <row r="179" spans="1:9">
      <c r="A179">
        <v>178</v>
      </c>
      <c r="B179">
        <v>20</v>
      </c>
      <c r="C179" t="s">
        <v>9</v>
      </c>
      <c r="D179" t="s">
        <v>18</v>
      </c>
      <c r="E179" t="s">
        <v>19</v>
      </c>
      <c r="F179" t="s">
        <v>16</v>
      </c>
      <c r="G179" s="1">
        <v>2010</v>
      </c>
      <c r="H179">
        <v>0</v>
      </c>
      <c r="I179" t="s">
        <v>13</v>
      </c>
    </row>
    <row r="180" spans="1:9">
      <c r="A180">
        <v>179</v>
      </c>
      <c r="B180">
        <v>18</v>
      </c>
      <c r="C180" t="s">
        <v>14</v>
      </c>
      <c r="D180" t="s">
        <v>15</v>
      </c>
      <c r="E180" t="s">
        <v>24</v>
      </c>
      <c r="F180" t="s">
        <v>12</v>
      </c>
      <c r="G180" s="1">
        <v>923</v>
      </c>
      <c r="H180">
        <v>6</v>
      </c>
      <c r="I180" t="s">
        <v>13</v>
      </c>
    </row>
    <row r="181" spans="1:9">
      <c r="A181">
        <v>180</v>
      </c>
      <c r="B181">
        <v>22</v>
      </c>
      <c r="C181" t="s">
        <v>14</v>
      </c>
      <c r="D181" t="s">
        <v>18</v>
      </c>
      <c r="E181" t="s">
        <v>11</v>
      </c>
      <c r="F181" t="s">
        <v>20</v>
      </c>
      <c r="G181" s="1">
        <v>424</v>
      </c>
      <c r="H181">
        <v>0</v>
      </c>
      <c r="I181" t="s">
        <v>22</v>
      </c>
    </row>
    <row r="182" spans="1:9">
      <c r="A182">
        <v>181</v>
      </c>
      <c r="B182">
        <v>43</v>
      </c>
      <c r="C182" t="s">
        <v>14</v>
      </c>
      <c r="D182" t="s">
        <v>10</v>
      </c>
      <c r="E182" t="s">
        <v>11</v>
      </c>
      <c r="F182" t="s">
        <v>20</v>
      </c>
      <c r="G182" s="1">
        <v>4827</v>
      </c>
      <c r="H182">
        <v>3</v>
      </c>
      <c r="I182" t="s">
        <v>17</v>
      </c>
    </row>
    <row r="183" spans="1:9">
      <c r="A183">
        <v>182</v>
      </c>
      <c r="B183">
        <v>72</v>
      </c>
      <c r="C183" t="s">
        <v>14</v>
      </c>
      <c r="D183" t="s">
        <v>23</v>
      </c>
      <c r="E183" t="s">
        <v>24</v>
      </c>
      <c r="F183" t="s">
        <v>16</v>
      </c>
      <c r="G183" s="1">
        <v>4408</v>
      </c>
      <c r="H183">
        <v>8</v>
      </c>
      <c r="I183" t="s">
        <v>13</v>
      </c>
    </row>
    <row r="184" spans="1:9">
      <c r="A184">
        <v>183</v>
      </c>
      <c r="B184">
        <v>31</v>
      </c>
      <c r="C184" t="s">
        <v>14</v>
      </c>
      <c r="D184" t="s">
        <v>23</v>
      </c>
      <c r="E184" t="s">
        <v>21</v>
      </c>
      <c r="F184" t="s">
        <v>16</v>
      </c>
      <c r="G184" s="1">
        <v>4854</v>
      </c>
      <c r="H184">
        <v>0</v>
      </c>
      <c r="I184" t="s">
        <v>22</v>
      </c>
    </row>
    <row r="185" spans="1:9">
      <c r="A185">
        <v>184</v>
      </c>
      <c r="B185">
        <v>56</v>
      </c>
      <c r="C185" t="s">
        <v>14</v>
      </c>
      <c r="D185" t="s">
        <v>10</v>
      </c>
      <c r="E185" t="s">
        <v>11</v>
      </c>
      <c r="F185" t="s">
        <v>16</v>
      </c>
      <c r="G185" s="1">
        <v>2248</v>
      </c>
      <c r="H185">
        <v>3</v>
      </c>
      <c r="I185" t="s">
        <v>13</v>
      </c>
    </row>
    <row r="186" spans="1:9">
      <c r="A186">
        <v>185</v>
      </c>
      <c r="B186">
        <v>44</v>
      </c>
      <c r="C186" t="s">
        <v>9</v>
      </c>
      <c r="D186" t="s">
        <v>23</v>
      </c>
      <c r="E186" t="s">
        <v>19</v>
      </c>
      <c r="F186" t="s">
        <v>12</v>
      </c>
      <c r="G186" s="1">
        <v>4949</v>
      </c>
      <c r="H186">
        <v>5</v>
      </c>
      <c r="I186" t="s">
        <v>17</v>
      </c>
    </row>
    <row r="187" spans="1:9">
      <c r="A187">
        <v>186</v>
      </c>
      <c r="B187">
        <v>26</v>
      </c>
      <c r="C187" t="s">
        <v>9</v>
      </c>
      <c r="D187" t="s">
        <v>10</v>
      </c>
      <c r="E187" t="s">
        <v>11</v>
      </c>
      <c r="F187" t="s">
        <v>16</v>
      </c>
      <c r="G187" s="1">
        <v>4615</v>
      </c>
      <c r="H187">
        <v>5</v>
      </c>
      <c r="I187" t="s">
        <v>22</v>
      </c>
    </row>
    <row r="188" spans="1:9">
      <c r="A188">
        <v>187</v>
      </c>
      <c r="B188">
        <v>32</v>
      </c>
      <c r="C188" t="s">
        <v>14</v>
      </c>
      <c r="D188" t="s">
        <v>10</v>
      </c>
      <c r="E188" t="s">
        <v>19</v>
      </c>
      <c r="F188" t="s">
        <v>20</v>
      </c>
      <c r="G188" s="1">
        <v>1773</v>
      </c>
      <c r="H188">
        <v>7</v>
      </c>
      <c r="I188" t="s">
        <v>17</v>
      </c>
    </row>
    <row r="189" spans="1:9">
      <c r="A189">
        <v>188</v>
      </c>
      <c r="B189">
        <v>32</v>
      </c>
      <c r="C189" t="s">
        <v>9</v>
      </c>
      <c r="D189" t="s">
        <v>10</v>
      </c>
      <c r="E189" t="s">
        <v>24</v>
      </c>
      <c r="F189" t="s">
        <v>20</v>
      </c>
      <c r="G189" s="1">
        <v>2028</v>
      </c>
      <c r="H189">
        <v>0</v>
      </c>
      <c r="I189" t="s">
        <v>17</v>
      </c>
    </row>
    <row r="190" spans="1:9">
      <c r="A190">
        <v>189</v>
      </c>
      <c r="B190">
        <v>43</v>
      </c>
      <c r="C190" t="s">
        <v>9</v>
      </c>
      <c r="D190" t="s">
        <v>23</v>
      </c>
      <c r="E190" t="s">
        <v>19</v>
      </c>
      <c r="F190" t="s">
        <v>16</v>
      </c>
      <c r="G190" s="1">
        <v>2117</v>
      </c>
      <c r="H190">
        <v>6</v>
      </c>
      <c r="I190" t="s">
        <v>22</v>
      </c>
    </row>
    <row r="191" spans="1:9">
      <c r="A191">
        <v>190</v>
      </c>
      <c r="B191">
        <v>59</v>
      </c>
      <c r="C191" t="s">
        <v>9</v>
      </c>
      <c r="D191" t="s">
        <v>18</v>
      </c>
      <c r="E191" t="s">
        <v>24</v>
      </c>
      <c r="F191" t="s">
        <v>16</v>
      </c>
      <c r="G191" s="1">
        <v>4434</v>
      </c>
      <c r="H191">
        <v>0</v>
      </c>
      <c r="I191" t="s">
        <v>22</v>
      </c>
    </row>
    <row r="192" spans="1:9">
      <c r="A192">
        <v>191</v>
      </c>
      <c r="B192">
        <v>77</v>
      </c>
      <c r="C192" t="s">
        <v>9</v>
      </c>
      <c r="D192" t="s">
        <v>10</v>
      </c>
      <c r="E192" t="s">
        <v>19</v>
      </c>
      <c r="F192" t="s">
        <v>20</v>
      </c>
      <c r="G192" s="1">
        <v>2226</v>
      </c>
      <c r="H192">
        <v>6</v>
      </c>
      <c r="I192" t="s">
        <v>22</v>
      </c>
    </row>
    <row r="193" spans="1:9">
      <c r="A193">
        <v>192</v>
      </c>
      <c r="B193">
        <v>30</v>
      </c>
      <c r="C193" t="s">
        <v>14</v>
      </c>
      <c r="D193" t="s">
        <v>15</v>
      </c>
      <c r="E193" t="s">
        <v>24</v>
      </c>
      <c r="F193" t="s">
        <v>12</v>
      </c>
      <c r="G193" s="1">
        <v>3944</v>
      </c>
      <c r="H193">
        <v>2</v>
      </c>
      <c r="I193" t="s">
        <v>22</v>
      </c>
    </row>
    <row r="194" spans="1:9">
      <c r="A194">
        <v>193</v>
      </c>
      <c r="B194">
        <v>68</v>
      </c>
      <c r="C194" t="s">
        <v>9</v>
      </c>
      <c r="D194" t="s">
        <v>23</v>
      </c>
      <c r="E194" t="s">
        <v>19</v>
      </c>
      <c r="F194" t="s">
        <v>16</v>
      </c>
      <c r="G194" s="1">
        <v>1101</v>
      </c>
      <c r="H194">
        <v>7</v>
      </c>
      <c r="I194" t="s">
        <v>22</v>
      </c>
    </row>
    <row r="195" spans="1:9">
      <c r="A195">
        <v>194</v>
      </c>
      <c r="B195">
        <v>49</v>
      </c>
      <c r="C195" t="s">
        <v>9</v>
      </c>
      <c r="D195" t="s">
        <v>10</v>
      </c>
      <c r="E195" t="s">
        <v>21</v>
      </c>
      <c r="F195" t="s">
        <v>16</v>
      </c>
      <c r="G195" s="1">
        <v>4985</v>
      </c>
      <c r="H195">
        <v>2</v>
      </c>
      <c r="I195" t="s">
        <v>22</v>
      </c>
    </row>
    <row r="196" spans="1:9">
      <c r="A196">
        <v>195</v>
      </c>
      <c r="B196">
        <v>56</v>
      </c>
      <c r="C196" t="s">
        <v>14</v>
      </c>
      <c r="D196" t="s">
        <v>10</v>
      </c>
      <c r="E196" t="s">
        <v>19</v>
      </c>
      <c r="F196" t="s">
        <v>20</v>
      </c>
      <c r="G196" s="1">
        <v>2239</v>
      </c>
      <c r="H196">
        <v>0</v>
      </c>
      <c r="I196" t="s">
        <v>22</v>
      </c>
    </row>
    <row r="197" spans="1:9">
      <c r="A197">
        <v>196</v>
      </c>
      <c r="B197">
        <v>66</v>
      </c>
      <c r="C197" t="s">
        <v>14</v>
      </c>
      <c r="D197" t="s">
        <v>15</v>
      </c>
      <c r="E197" t="s">
        <v>19</v>
      </c>
      <c r="F197" t="s">
        <v>16</v>
      </c>
      <c r="G197" s="1">
        <v>209</v>
      </c>
      <c r="H197">
        <v>7</v>
      </c>
      <c r="I197" t="s">
        <v>13</v>
      </c>
    </row>
    <row r="198" spans="1:9">
      <c r="A198">
        <v>197</v>
      </c>
      <c r="B198">
        <v>69</v>
      </c>
      <c r="C198" t="s">
        <v>9</v>
      </c>
      <c r="D198" t="s">
        <v>18</v>
      </c>
      <c r="E198" t="s">
        <v>21</v>
      </c>
      <c r="F198" t="s">
        <v>12</v>
      </c>
      <c r="G198" s="1">
        <v>460</v>
      </c>
      <c r="H198">
        <v>2</v>
      </c>
      <c r="I198" t="s">
        <v>17</v>
      </c>
    </row>
    <row r="199" spans="1:9">
      <c r="A199">
        <v>198</v>
      </c>
      <c r="B199">
        <v>78</v>
      </c>
      <c r="C199" t="s">
        <v>9</v>
      </c>
      <c r="D199" t="s">
        <v>18</v>
      </c>
      <c r="E199" t="s">
        <v>11</v>
      </c>
      <c r="F199" t="s">
        <v>20</v>
      </c>
      <c r="G199" s="1">
        <v>1873</v>
      </c>
      <c r="H199">
        <v>1</v>
      </c>
      <c r="I199" t="s">
        <v>22</v>
      </c>
    </row>
    <row r="200" spans="1:9">
      <c r="A200">
        <v>199</v>
      </c>
      <c r="B200">
        <v>49</v>
      </c>
      <c r="C200" t="s">
        <v>9</v>
      </c>
      <c r="D200" t="s">
        <v>18</v>
      </c>
      <c r="E200" t="s">
        <v>11</v>
      </c>
      <c r="F200" t="s">
        <v>16</v>
      </c>
      <c r="G200" s="1">
        <v>2419</v>
      </c>
      <c r="H200">
        <v>0</v>
      </c>
      <c r="I200" t="s">
        <v>13</v>
      </c>
    </row>
    <row r="201" spans="1:9">
      <c r="A201">
        <v>200</v>
      </c>
      <c r="B201">
        <v>21</v>
      </c>
      <c r="C201" t="s">
        <v>9</v>
      </c>
      <c r="D201" t="s">
        <v>10</v>
      </c>
      <c r="E201" t="s">
        <v>19</v>
      </c>
      <c r="F201" t="s">
        <v>20</v>
      </c>
      <c r="G201" s="1">
        <v>2260</v>
      </c>
      <c r="H201">
        <v>2</v>
      </c>
      <c r="I201" t="s">
        <v>13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22276-AB3E-411A-983F-3A9A737DC54C}">
  <dimension ref="A3:E6"/>
  <sheetViews>
    <sheetView workbookViewId="0">
      <selection activeCell="C5" sqref="C5"/>
    </sheetView>
  </sheetViews>
  <sheetFormatPr defaultRowHeight="15"/>
  <cols>
    <col min="1" max="1" width="14.28515625" bestFit="1" customWidth="1"/>
    <col min="2" max="2" width="12.28515625" bestFit="1" customWidth="1"/>
  </cols>
  <sheetData>
    <row r="3" spans="1:5">
      <c r="A3" s="3" t="s">
        <v>28</v>
      </c>
      <c r="B3" t="s">
        <v>29</v>
      </c>
      <c r="E3">
        <f>Sheet4!H4</f>
        <v>0</v>
      </c>
    </row>
    <row r="4" spans="1:5">
      <c r="A4" s="4" t="s">
        <v>9</v>
      </c>
      <c r="B4" s="6">
        <v>103</v>
      </c>
      <c r="C4">
        <f>B4</f>
        <v>103</v>
      </c>
    </row>
    <row r="5" spans="1:5">
      <c r="A5" s="4" t="s">
        <v>14</v>
      </c>
      <c r="B5" s="6">
        <v>97</v>
      </c>
      <c r="C5">
        <f>B5</f>
        <v>97</v>
      </c>
    </row>
    <row r="6" spans="1:5">
      <c r="A6" s="4" t="s">
        <v>30</v>
      </c>
      <c r="B6" s="6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98C1F-C85D-46EB-BAB4-837E28C5E14C}">
  <dimension ref="A3:C8"/>
  <sheetViews>
    <sheetView workbookViewId="0">
      <selection activeCell="C5" sqref="C5"/>
    </sheetView>
  </sheetViews>
  <sheetFormatPr defaultRowHeight="15"/>
  <cols>
    <col min="1" max="1" width="14.28515625" bestFit="1" customWidth="1"/>
    <col min="2" max="2" width="15.28515625" bestFit="1" customWidth="1"/>
  </cols>
  <sheetData>
    <row r="3" spans="1:3">
      <c r="A3" s="3" t="s">
        <v>28</v>
      </c>
      <c r="B3" t="s">
        <v>31</v>
      </c>
    </row>
    <row r="4" spans="1:3">
      <c r="A4" s="4" t="s">
        <v>10</v>
      </c>
      <c r="B4" s="6">
        <v>56</v>
      </c>
      <c r="C4">
        <f>SUM(GETPIVOTDATA("Region",$A$3,"Region","Eastern Cape"))</f>
        <v>56</v>
      </c>
    </row>
    <row r="5" spans="1:3">
      <c r="A5" s="4" t="s">
        <v>23</v>
      </c>
      <c r="B5" s="6">
        <v>47</v>
      </c>
      <c r="C5">
        <f>Sheet4!B5</f>
        <v>47</v>
      </c>
    </row>
    <row r="6" spans="1:3">
      <c r="A6" s="4" t="s">
        <v>18</v>
      </c>
      <c r="B6" s="6">
        <v>44</v>
      </c>
      <c r="C6">
        <f>B6</f>
        <v>44</v>
      </c>
    </row>
    <row r="7" spans="1:3">
      <c r="A7" s="4" t="s">
        <v>15</v>
      </c>
      <c r="B7" s="6">
        <v>53</v>
      </c>
      <c r="C7">
        <f>B7</f>
        <v>53</v>
      </c>
    </row>
    <row r="8" spans="1:3">
      <c r="A8" s="4" t="s">
        <v>30</v>
      </c>
      <c r="B8" s="6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5DADA-C363-4641-B4AD-90987DFCA9FA}">
  <dimension ref="A3:B4"/>
  <sheetViews>
    <sheetView workbookViewId="0">
      <selection activeCell="B4" sqref="B4"/>
    </sheetView>
  </sheetViews>
  <sheetFormatPr defaultRowHeight="15"/>
  <cols>
    <col min="1" max="1" width="22.28515625" bestFit="1" customWidth="1"/>
    <col min="2" max="2" width="11.28515625" bestFit="1" customWidth="1"/>
  </cols>
  <sheetData>
    <row r="3" spans="1:2">
      <c r="A3" t="s">
        <v>32</v>
      </c>
    </row>
    <row r="4" spans="1:2">
      <c r="A4" s="1">
        <v>541578</v>
      </c>
      <c r="B4" s="1">
        <f>SUM(GETPIVOTDATA("Treatment_Cost",$A$3))</f>
        <v>541578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FF07A-8C11-4D75-8A6E-9AD7E11EFAD2}">
  <dimension ref="A2:B5"/>
  <sheetViews>
    <sheetView workbookViewId="0">
      <selection activeCell="A2" sqref="A2"/>
    </sheetView>
  </sheetViews>
  <sheetFormatPr defaultRowHeight="15"/>
  <cols>
    <col min="1" max="1" width="11.42578125" bestFit="1" customWidth="1"/>
    <col min="2" max="3" width="22.28515625" bestFit="1" customWidth="1"/>
  </cols>
  <sheetData>
    <row r="2" spans="1:2">
      <c r="A2" s="3" t="s">
        <v>2</v>
      </c>
      <c r="B2" t="s">
        <v>32</v>
      </c>
    </row>
    <row r="3" spans="1:2">
      <c r="A3" t="s">
        <v>9</v>
      </c>
      <c r="B3" s="1">
        <v>266305</v>
      </c>
    </row>
    <row r="4" spans="1:2">
      <c r="A4" t="s">
        <v>14</v>
      </c>
      <c r="B4" s="1">
        <v>275273</v>
      </c>
    </row>
    <row r="5" spans="1:2">
      <c r="A5" t="s">
        <v>30</v>
      </c>
      <c r="B5" s="1">
        <v>541578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5F203-78B0-4549-B559-3AD117CE477C}">
  <dimension ref="A2:B7"/>
  <sheetViews>
    <sheetView workbookViewId="0">
      <selection activeCell="D2" sqref="D2"/>
    </sheetView>
  </sheetViews>
  <sheetFormatPr defaultRowHeight="15"/>
  <cols>
    <col min="1" max="1" width="13.85546875" bestFit="1" customWidth="1"/>
    <col min="2" max="2" width="22.28515625" bestFit="1" customWidth="1"/>
  </cols>
  <sheetData>
    <row r="2" spans="1:2">
      <c r="A2" s="3" t="s">
        <v>3</v>
      </c>
      <c r="B2" t="s">
        <v>32</v>
      </c>
    </row>
    <row r="3" spans="1:2">
      <c r="A3" t="s">
        <v>10</v>
      </c>
      <c r="B3" s="1">
        <v>152663</v>
      </c>
    </row>
    <row r="4" spans="1:2">
      <c r="A4" t="s">
        <v>23</v>
      </c>
      <c r="B4" s="1">
        <v>135393</v>
      </c>
    </row>
    <row r="5" spans="1:2">
      <c r="A5" t="s">
        <v>18</v>
      </c>
      <c r="B5" s="1">
        <v>118668</v>
      </c>
    </row>
    <row r="6" spans="1:2">
      <c r="A6" t="s">
        <v>15</v>
      </c>
      <c r="B6" s="1">
        <v>134854</v>
      </c>
    </row>
    <row r="7" spans="1:2">
      <c r="A7" t="s">
        <v>30</v>
      </c>
      <c r="B7" s="1">
        <v>541578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5AF4D-8352-4322-9CD0-BAC1A10FDB1D}">
  <dimension ref="A2:B5"/>
  <sheetViews>
    <sheetView workbookViewId="0">
      <selection activeCell="D2" sqref="D2"/>
    </sheetView>
  </sheetViews>
  <sheetFormatPr defaultRowHeight="15"/>
  <cols>
    <col min="1" max="1" width="11.42578125" bestFit="1" customWidth="1"/>
    <col min="2" max="2" width="28.28515625" bestFit="1" customWidth="1"/>
    <col min="3" max="3" width="26.85546875" bestFit="1" customWidth="1"/>
  </cols>
  <sheetData>
    <row r="2" spans="1:2">
      <c r="A2" s="3" t="s">
        <v>2</v>
      </c>
      <c r="B2" t="s">
        <v>33</v>
      </c>
    </row>
    <row r="3" spans="1:2">
      <c r="A3" t="s">
        <v>9</v>
      </c>
      <c r="B3" s="6">
        <v>103</v>
      </c>
    </row>
    <row r="4" spans="1:2">
      <c r="A4" t="s">
        <v>14</v>
      </c>
      <c r="B4" s="6">
        <v>97</v>
      </c>
    </row>
    <row r="5" spans="1:2">
      <c r="A5" t="s">
        <v>30</v>
      </c>
      <c r="B5" s="6">
        <v>200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0BD14-CF02-4C1D-8EF2-2316FD4FD03D}">
  <dimension ref="A2:B6"/>
  <sheetViews>
    <sheetView workbookViewId="0">
      <selection activeCell="D2" sqref="D2"/>
    </sheetView>
  </sheetViews>
  <sheetFormatPr defaultRowHeight="15"/>
  <cols>
    <col min="1" max="1" width="16" bestFit="1" customWidth="1"/>
    <col min="2" max="2" width="22.28515625" bestFit="1" customWidth="1"/>
    <col min="3" max="3" width="13.85546875" bestFit="1" customWidth="1"/>
  </cols>
  <sheetData>
    <row r="2" spans="1:2">
      <c r="A2" s="3" t="s">
        <v>5</v>
      </c>
      <c r="B2" t="s">
        <v>32</v>
      </c>
    </row>
    <row r="3" spans="1:2">
      <c r="A3" t="s">
        <v>12</v>
      </c>
      <c r="B3" s="1">
        <v>168501</v>
      </c>
    </row>
    <row r="4" spans="1:2">
      <c r="A4" t="s">
        <v>16</v>
      </c>
      <c r="B4" s="1">
        <v>210903</v>
      </c>
    </row>
    <row r="5" spans="1:2">
      <c r="A5" t="s">
        <v>20</v>
      </c>
      <c r="B5" s="1">
        <v>162174</v>
      </c>
    </row>
    <row r="6" spans="1:2">
      <c r="A6" t="s">
        <v>30</v>
      </c>
      <c r="B6" s="1">
        <v>541578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3D7B1-B653-4B0A-B4B3-9181F379A8BE}">
  <dimension ref="E8"/>
  <sheetViews>
    <sheetView tabSelected="1" workbookViewId="0">
      <selection activeCell="G17" sqref="G17"/>
    </sheetView>
  </sheetViews>
  <sheetFormatPr defaultRowHeight="15"/>
  <cols>
    <col min="1" max="16384" width="9.140625" style="5"/>
  </cols>
  <sheetData>
    <row r="8" spans="5:5">
      <c r="E8" s="5">
        <f>Sheet4!C4</f>
        <v>56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340185D38C8045880DE658E79E72AA" ma:contentTypeVersion="16" ma:contentTypeDescription="Create a new document." ma:contentTypeScope="" ma:versionID="0e997a8ab2642b703108aeccc30eec3f">
  <xsd:schema xmlns:xsd="http://www.w3.org/2001/XMLSchema" xmlns:xs="http://www.w3.org/2001/XMLSchema" xmlns:p="http://schemas.microsoft.com/office/2006/metadata/properties" xmlns:ns3="442abb4d-4557-4745-b959-458eca0918bb" xmlns:ns4="eab72811-1a72-4c62-b7ce-958b0cd572dd" targetNamespace="http://schemas.microsoft.com/office/2006/metadata/properties" ma:root="true" ma:fieldsID="8f60fff48e3142666ad485b1e89e5a35" ns3:_="" ns4:_="">
    <xsd:import namespace="442abb4d-4557-4745-b959-458eca0918bb"/>
    <xsd:import namespace="eab72811-1a72-4c62-b7ce-958b0cd572d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2abb4d-4557-4745-b959-458eca0918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72811-1a72-4c62-b7ce-958b0cd572d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42abb4d-4557-4745-b959-458eca0918bb" xsi:nil="true"/>
  </documentManagement>
</p:properties>
</file>

<file path=customXml/itemProps1.xml><?xml version="1.0" encoding="utf-8"?>
<ds:datastoreItem xmlns:ds="http://schemas.openxmlformats.org/officeDocument/2006/customXml" ds:itemID="{C8566095-4247-4656-BE69-F1F9EB7B536C}"/>
</file>

<file path=customXml/itemProps2.xml><?xml version="1.0" encoding="utf-8"?>
<ds:datastoreItem xmlns:ds="http://schemas.openxmlformats.org/officeDocument/2006/customXml" ds:itemID="{A1FB1987-57FC-48F6-88CE-CE6B9E3D7636}"/>
</file>

<file path=customXml/itemProps3.xml><?xml version="1.0" encoding="utf-8"?>
<ds:datastoreItem xmlns:ds="http://schemas.openxmlformats.org/officeDocument/2006/customXml" ds:itemID="{A99335EC-031F-4B12-B3BE-D195560F064B}"/>
</file>

<file path=docMetadata/LabelInfo.xml><?xml version="1.0" encoding="utf-8"?>
<clbl:labelList xmlns:clbl="http://schemas.microsoft.com/office/2020/mipLabelMetadata">
  <clbl:label id="{b14d86f1-83ba-4b13-a702-b5c0231b9337}" enabled="0" method="" siteId="{b14d86f1-83ba-4b13-a702-b5c0231b93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2026-04-10T19:14:25Z</dcterms:created>
  <dcterms:modified xsi:type="dcterms:W3CDTF">2026-08-08T01:38:59Z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0x010100C9340185D38C8045880DE658E79E72AA</vt:lpwstr>
  </property>
</Properties>
</file>